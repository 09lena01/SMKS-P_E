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a\OneDrive\PC\OneDrive\Desktop\FRET\"/>
    </mc:Choice>
  </mc:AlternateContent>
  <xr:revisionPtr revIDLastSave="0" documentId="13_ncr:1_{F2BB1D51-754D-471E-AECD-B719DEBB23B7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Messdaten" sheetId="4" r:id="rId1"/>
    <sheet name="Rechnung R0" sheetId="5" r:id="rId2"/>
    <sheet name="Verhältnismethode" sheetId="6" r:id="rId3"/>
    <sheet name="3D-Modelle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" i="6" l="1"/>
  <c r="X4" i="6"/>
  <c r="AA4" i="6" s="1"/>
  <c r="Z4" i="6"/>
  <c r="AG4" i="6"/>
  <c r="C3" i="6"/>
  <c r="E3" i="6"/>
  <c r="AE3" i="5"/>
  <c r="AA3" i="5"/>
  <c r="H3" i="5"/>
  <c r="C3" i="5"/>
  <c r="AF4" i="6"/>
  <c r="I3" i="6" a="1"/>
  <c r="I3" i="6" s="1"/>
  <c r="AC4" i="6" a="1"/>
  <c r="AC4" i="6" s="1"/>
  <c r="AB4" i="6" a="1"/>
  <c r="AB4" i="6" s="1"/>
  <c r="W4" i="6" a="1"/>
  <c r="W4" i="6" s="1"/>
  <c r="V4" i="6" a="1"/>
  <c r="V4" i="6" s="1"/>
  <c r="I3" i="5" a="1"/>
  <c r="I3" i="5" s="1"/>
  <c r="A3" i="5" a="1"/>
  <c r="A3" i="5" s="1"/>
  <c r="Y3" i="5" s="1"/>
  <c r="Y149" i="5"/>
  <c r="Y151" i="5"/>
  <c r="Y157" i="5"/>
  <c r="Y161" i="5"/>
  <c r="Y163" i="5"/>
  <c r="Y169" i="5"/>
  <c r="Y173" i="5"/>
  <c r="Y175" i="5"/>
  <c r="Y181" i="5"/>
  <c r="Y6" i="5"/>
  <c r="Y7" i="5"/>
  <c r="Y8" i="5"/>
  <c r="Y14" i="5"/>
  <c r="Y18" i="5"/>
  <c r="Y19" i="5"/>
  <c r="Y20" i="5"/>
  <c r="Y26" i="5"/>
  <c r="Y30" i="5"/>
  <c r="Y31" i="5"/>
  <c r="Y32" i="5"/>
  <c r="Y38" i="5"/>
  <c r="Y42" i="5"/>
  <c r="Y43" i="5"/>
  <c r="Y44" i="5"/>
  <c r="Y50" i="5"/>
  <c r="Y54" i="5"/>
  <c r="Y55" i="5"/>
  <c r="Y56" i="5"/>
  <c r="Y62" i="5"/>
  <c r="Y66" i="5"/>
  <c r="Y67" i="5"/>
  <c r="Y68" i="5"/>
  <c r="Y74" i="5"/>
  <c r="Y78" i="5"/>
  <c r="Y79" i="5"/>
  <c r="Y80" i="5"/>
  <c r="Y86" i="5"/>
  <c r="Y90" i="5"/>
  <c r="Y91" i="5"/>
  <c r="Y92" i="5"/>
  <c r="Y98" i="5"/>
  <c r="Y102" i="5"/>
  <c r="Y103" i="5"/>
  <c r="Y104" i="5"/>
  <c r="Y110" i="5"/>
  <c r="Y114" i="5"/>
  <c r="Y115" i="5"/>
  <c r="Y116" i="5"/>
  <c r="Y122" i="5"/>
  <c r="Y126" i="5"/>
  <c r="Y127" i="5"/>
  <c r="Y128" i="5"/>
  <c r="Y134" i="5"/>
  <c r="Y138" i="5"/>
  <c r="Y139" i="5"/>
  <c r="Y140" i="5"/>
  <c r="Y146" i="5"/>
  <c r="Y4" i="5"/>
  <c r="F3" i="5"/>
  <c r="V4" i="5"/>
  <c r="V5" i="5"/>
  <c r="V6" i="5"/>
  <c r="V7" i="5"/>
  <c r="V8" i="5"/>
  <c r="V9" i="5"/>
  <c r="V10" i="5"/>
  <c r="V11" i="5"/>
  <c r="V12" i="5"/>
  <c r="V13" i="5"/>
  <c r="V14" i="5"/>
  <c r="V15" i="5"/>
  <c r="V16" i="5"/>
  <c r="V17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102" i="5"/>
  <c r="V103" i="5"/>
  <c r="V104" i="5"/>
  <c r="V105" i="5"/>
  <c r="V106" i="5"/>
  <c r="V107" i="5"/>
  <c r="V108" i="5"/>
  <c r="V109" i="5"/>
  <c r="V110" i="5"/>
  <c r="V111" i="5"/>
  <c r="V112" i="5"/>
  <c r="V113" i="5"/>
  <c r="V114" i="5"/>
  <c r="V115" i="5"/>
  <c r="V116" i="5"/>
  <c r="V117" i="5"/>
  <c r="V118" i="5"/>
  <c r="V119" i="5"/>
  <c r="V120" i="5"/>
  <c r="V121" i="5"/>
  <c r="V122" i="5"/>
  <c r="V123" i="5"/>
  <c r="V124" i="5"/>
  <c r="V125" i="5"/>
  <c r="V126" i="5"/>
  <c r="V127" i="5"/>
  <c r="V128" i="5"/>
  <c r="V129" i="5"/>
  <c r="V130" i="5"/>
  <c r="V131" i="5"/>
  <c r="V132" i="5"/>
  <c r="V133" i="5"/>
  <c r="V134" i="5"/>
  <c r="V135" i="5"/>
  <c r="V136" i="5"/>
  <c r="V137" i="5"/>
  <c r="V138" i="5"/>
  <c r="V139" i="5"/>
  <c r="V140" i="5"/>
  <c r="V141" i="5"/>
  <c r="V142" i="5"/>
  <c r="V143" i="5"/>
  <c r="V144" i="5"/>
  <c r="V145" i="5"/>
  <c r="V146" i="5"/>
  <c r="V147" i="5"/>
  <c r="V148" i="5"/>
  <c r="V149" i="5"/>
  <c r="V150" i="5"/>
  <c r="V151" i="5"/>
  <c r="V152" i="5"/>
  <c r="V153" i="5"/>
  <c r="V154" i="5"/>
  <c r="V155" i="5"/>
  <c r="V156" i="5"/>
  <c r="V157" i="5"/>
  <c r="V158" i="5"/>
  <c r="V159" i="5"/>
  <c r="V160" i="5"/>
  <c r="V161" i="5"/>
  <c r="V162" i="5"/>
  <c r="V163" i="5"/>
  <c r="V164" i="5"/>
  <c r="V165" i="5"/>
  <c r="V166" i="5"/>
  <c r="V167" i="5"/>
  <c r="V168" i="5"/>
  <c r="V169" i="5"/>
  <c r="V170" i="5"/>
  <c r="V171" i="5"/>
  <c r="V172" i="5"/>
  <c r="V173" i="5"/>
  <c r="V174" i="5"/>
  <c r="V175" i="5"/>
  <c r="V176" i="5"/>
  <c r="V177" i="5"/>
  <c r="V178" i="5"/>
  <c r="V179" i="5"/>
  <c r="V180" i="5"/>
  <c r="V181" i="5"/>
  <c r="V182" i="5"/>
  <c r="V183" i="5"/>
  <c r="V184" i="5"/>
  <c r="V185" i="5"/>
  <c r="V186" i="5"/>
  <c r="V187" i="5"/>
  <c r="V188" i="5"/>
  <c r="V189" i="5"/>
  <c r="V190" i="5"/>
  <c r="V191" i="5"/>
  <c r="V192" i="5"/>
  <c r="V193" i="5"/>
  <c r="V194" i="5"/>
  <c r="V195" i="5"/>
  <c r="V196" i="5"/>
  <c r="V197" i="5"/>
  <c r="V198" i="5"/>
  <c r="V199" i="5"/>
  <c r="V200" i="5"/>
  <c r="V201" i="5"/>
  <c r="V202" i="5"/>
  <c r="V203" i="5"/>
  <c r="V204" i="5"/>
  <c r="V205" i="5"/>
  <c r="V206" i="5"/>
  <c r="V207" i="5"/>
  <c r="V208" i="5"/>
  <c r="V209" i="5"/>
  <c r="V210" i="5"/>
  <c r="V211" i="5"/>
  <c r="V212" i="5"/>
  <c r="V213" i="5"/>
  <c r="V214" i="5"/>
  <c r="V215" i="5"/>
  <c r="V216" i="5"/>
  <c r="V217" i="5"/>
  <c r="V218" i="5"/>
  <c r="V219" i="5"/>
  <c r="V220" i="5"/>
  <c r="V221" i="5"/>
  <c r="V222" i="5"/>
  <c r="V223" i="5"/>
  <c r="V224" i="5"/>
  <c r="V225" i="5"/>
  <c r="V226" i="5"/>
  <c r="V227" i="5"/>
  <c r="V228" i="5"/>
  <c r="V229" i="5"/>
  <c r="V230" i="5"/>
  <c r="V231" i="5"/>
  <c r="V232" i="5"/>
  <c r="V233" i="5"/>
  <c r="V234" i="5"/>
  <c r="V235" i="5"/>
  <c r="V236" i="5"/>
  <c r="V237" i="5"/>
  <c r="V238" i="5"/>
  <c r="V239" i="5"/>
  <c r="V240" i="5"/>
  <c r="V241" i="5"/>
  <c r="V242" i="5"/>
  <c r="V243" i="5"/>
  <c r="V244" i="5"/>
  <c r="V245" i="5"/>
  <c r="V246" i="5"/>
  <c r="V247" i="5"/>
  <c r="V248" i="5"/>
  <c r="V249" i="5"/>
  <c r="V250" i="5"/>
  <c r="V251" i="5"/>
  <c r="V252" i="5"/>
  <c r="V253" i="5"/>
  <c r="V254" i="5"/>
  <c r="V255" i="5"/>
  <c r="V256" i="5"/>
  <c r="V257" i="5"/>
  <c r="V258" i="5"/>
  <c r="V259" i="5"/>
  <c r="V260" i="5"/>
  <c r="V261" i="5"/>
  <c r="V262" i="5"/>
  <c r="V263" i="5"/>
  <c r="V264" i="5"/>
  <c r="V265" i="5"/>
  <c r="V266" i="5"/>
  <c r="V267" i="5"/>
  <c r="V268" i="5"/>
  <c r="V269" i="5"/>
  <c r="V270" i="5"/>
  <c r="V271" i="5"/>
  <c r="V272" i="5"/>
  <c r="V273" i="5"/>
  <c r="V274" i="5"/>
  <c r="V275" i="5"/>
  <c r="V276" i="5"/>
  <c r="V277" i="5"/>
  <c r="V278" i="5"/>
  <c r="V279" i="5"/>
  <c r="V280" i="5"/>
  <c r="V281" i="5"/>
  <c r="V282" i="5"/>
  <c r="V283" i="5"/>
  <c r="V284" i="5"/>
  <c r="V285" i="5"/>
  <c r="V286" i="5"/>
  <c r="V287" i="5"/>
  <c r="V288" i="5"/>
  <c r="V289" i="5"/>
  <c r="V290" i="5"/>
  <c r="V291" i="5"/>
  <c r="V292" i="5"/>
  <c r="V293" i="5"/>
  <c r="V294" i="5"/>
  <c r="V295" i="5"/>
  <c r="V296" i="5"/>
  <c r="V297" i="5"/>
  <c r="V298" i="5"/>
  <c r="V299" i="5"/>
  <c r="V300" i="5"/>
  <c r="V301" i="5"/>
  <c r="V302" i="5"/>
  <c r="V303" i="5"/>
  <c r="V304" i="5"/>
  <c r="V305" i="5"/>
  <c r="V306" i="5"/>
  <c r="V307" i="5"/>
  <c r="V308" i="5"/>
  <c r="V309" i="5"/>
  <c r="V310" i="5"/>
  <c r="V311" i="5"/>
  <c r="V312" i="5"/>
  <c r="V313" i="5"/>
  <c r="V314" i="5"/>
  <c r="V315" i="5"/>
  <c r="V316" i="5"/>
  <c r="V317" i="5"/>
  <c r="V318" i="5"/>
  <c r="V319" i="5"/>
  <c r="V320" i="5"/>
  <c r="V321" i="5"/>
  <c r="V322" i="5"/>
  <c r="V323" i="5"/>
  <c r="V3" i="5"/>
  <c r="U3" i="5" a="1"/>
  <c r="U3" i="5" s="1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" i="5"/>
  <c r="Q3" i="5" a="1"/>
  <c r="Q3" i="5" s="1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100" i="5"/>
  <c r="N101" i="5"/>
  <c r="N102" i="5"/>
  <c r="N103" i="5"/>
  <c r="N104" i="5"/>
  <c r="N105" i="5"/>
  <c r="N106" i="5"/>
  <c r="N107" i="5"/>
  <c r="N108" i="5"/>
  <c r="N109" i="5"/>
  <c r="N110" i="5"/>
  <c r="N111" i="5"/>
  <c r="N112" i="5"/>
  <c r="N113" i="5"/>
  <c r="N114" i="5"/>
  <c r="N115" i="5"/>
  <c r="N116" i="5"/>
  <c r="N117" i="5"/>
  <c r="N118" i="5"/>
  <c r="N119" i="5"/>
  <c r="N120" i="5"/>
  <c r="N121" i="5"/>
  <c r="N122" i="5"/>
  <c r="N123" i="5"/>
  <c r="N124" i="5"/>
  <c r="N125" i="5"/>
  <c r="N126" i="5"/>
  <c r="N127" i="5"/>
  <c r="N128" i="5"/>
  <c r="N129" i="5"/>
  <c r="N130" i="5"/>
  <c r="N131" i="5"/>
  <c r="N132" i="5"/>
  <c r="N133" i="5"/>
  <c r="N134" i="5"/>
  <c r="N135" i="5"/>
  <c r="N136" i="5"/>
  <c r="N137" i="5"/>
  <c r="N138" i="5"/>
  <c r="N139" i="5"/>
  <c r="N140" i="5"/>
  <c r="N141" i="5"/>
  <c r="N142" i="5"/>
  <c r="N143" i="5"/>
  <c r="N144" i="5"/>
  <c r="N145" i="5"/>
  <c r="N146" i="5"/>
  <c r="N147" i="5"/>
  <c r="N148" i="5"/>
  <c r="N149" i="5"/>
  <c r="N150" i="5"/>
  <c r="N151" i="5"/>
  <c r="N152" i="5"/>
  <c r="N153" i="5"/>
  <c r="N154" i="5"/>
  <c r="N155" i="5"/>
  <c r="N156" i="5"/>
  <c r="N157" i="5"/>
  <c r="N158" i="5"/>
  <c r="N159" i="5"/>
  <c r="N160" i="5"/>
  <c r="N161" i="5"/>
  <c r="N162" i="5"/>
  <c r="N163" i="5"/>
  <c r="N164" i="5"/>
  <c r="N165" i="5"/>
  <c r="N166" i="5"/>
  <c r="N167" i="5"/>
  <c r="N168" i="5"/>
  <c r="N169" i="5"/>
  <c r="N170" i="5"/>
  <c r="N171" i="5"/>
  <c r="N172" i="5"/>
  <c r="N173" i="5"/>
  <c r="N174" i="5"/>
  <c r="N175" i="5"/>
  <c r="N176" i="5"/>
  <c r="N177" i="5"/>
  <c r="N178" i="5"/>
  <c r="N179" i="5"/>
  <c r="N180" i="5"/>
  <c r="N181" i="5"/>
  <c r="N182" i="5"/>
  <c r="N183" i="5"/>
  <c r="N184" i="5"/>
  <c r="N185" i="5"/>
  <c r="N186" i="5"/>
  <c r="N187" i="5"/>
  <c r="N188" i="5"/>
  <c r="N189" i="5"/>
  <c r="N190" i="5"/>
  <c r="N191" i="5"/>
  <c r="N192" i="5"/>
  <c r="N193" i="5"/>
  <c r="N194" i="5"/>
  <c r="N195" i="5"/>
  <c r="N196" i="5"/>
  <c r="N197" i="5"/>
  <c r="N198" i="5"/>
  <c r="N199" i="5"/>
  <c r="N200" i="5"/>
  <c r="N201" i="5"/>
  <c r="N202" i="5"/>
  <c r="N203" i="5"/>
  <c r="N204" i="5"/>
  <c r="N205" i="5"/>
  <c r="N206" i="5"/>
  <c r="N207" i="5"/>
  <c r="N208" i="5"/>
  <c r="N209" i="5"/>
  <c r="N210" i="5"/>
  <c r="N211" i="5"/>
  <c r="N212" i="5"/>
  <c r="N213" i="5"/>
  <c r="N214" i="5"/>
  <c r="N215" i="5"/>
  <c r="N216" i="5"/>
  <c r="N217" i="5"/>
  <c r="N218" i="5"/>
  <c r="N219" i="5"/>
  <c r="N220" i="5"/>
  <c r="N221" i="5"/>
  <c r="N222" i="5"/>
  <c r="N223" i="5"/>
  <c r="N224" i="5"/>
  <c r="N225" i="5"/>
  <c r="N226" i="5"/>
  <c r="N227" i="5"/>
  <c r="N228" i="5"/>
  <c r="N229" i="5"/>
  <c r="N230" i="5"/>
  <c r="N231" i="5"/>
  <c r="N232" i="5"/>
  <c r="N233" i="5"/>
  <c r="N234" i="5"/>
  <c r="N235" i="5"/>
  <c r="N236" i="5"/>
  <c r="N237" i="5"/>
  <c r="N238" i="5"/>
  <c r="N239" i="5"/>
  <c r="N240" i="5"/>
  <c r="N241" i="5"/>
  <c r="N242" i="5"/>
  <c r="N243" i="5"/>
  <c r="N244" i="5"/>
  <c r="N245" i="5"/>
  <c r="N246" i="5"/>
  <c r="N247" i="5"/>
  <c r="N248" i="5"/>
  <c r="N249" i="5"/>
  <c r="N250" i="5"/>
  <c r="N251" i="5"/>
  <c r="N252" i="5"/>
  <c r="N253" i="5"/>
  <c r="N254" i="5"/>
  <c r="N255" i="5"/>
  <c r="N256" i="5"/>
  <c r="N257" i="5"/>
  <c r="N258" i="5"/>
  <c r="N259" i="5"/>
  <c r="N260" i="5"/>
  <c r="N261" i="5"/>
  <c r="N262" i="5"/>
  <c r="N263" i="5"/>
  <c r="N3" i="5"/>
  <c r="M3" i="5" a="1"/>
  <c r="M3" i="5" s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3" i="5"/>
  <c r="B3" i="6" s="1" a="1"/>
  <c r="B3" i="6" s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E3" i="5" a="1"/>
  <c r="E3" i="5" s="1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" i="5"/>
  <c r="H3" i="6" s="1" a="1"/>
  <c r="X305" i="6" l="1"/>
  <c r="X161" i="6"/>
  <c r="X17" i="6"/>
  <c r="AD4" i="6"/>
  <c r="AE4" i="6" s="1"/>
  <c r="AD195" i="6"/>
  <c r="AE195" i="6" s="1"/>
  <c r="AD51" i="6"/>
  <c r="AE51" i="6" s="1"/>
  <c r="X317" i="6"/>
  <c r="Y317" i="6" s="1"/>
  <c r="X173" i="6"/>
  <c r="Y173" i="6" s="1"/>
  <c r="X29" i="6"/>
  <c r="Y29" i="6" s="1"/>
  <c r="AD207" i="6"/>
  <c r="AE207" i="6" s="1"/>
  <c r="AD63" i="6"/>
  <c r="AE63" i="6" s="1"/>
  <c r="Y305" i="6"/>
  <c r="Y161" i="6"/>
  <c r="Y17" i="6"/>
  <c r="X5" i="6"/>
  <c r="Y5" i="6" s="1"/>
  <c r="X281" i="6"/>
  <c r="Y281" i="6" s="1"/>
  <c r="X137" i="6"/>
  <c r="Y137" i="6" s="1"/>
  <c r="AD315" i="6"/>
  <c r="AE315" i="6" s="1"/>
  <c r="AD171" i="6"/>
  <c r="AE171" i="6" s="1"/>
  <c r="AD27" i="6"/>
  <c r="AE27" i="6" s="1"/>
  <c r="X149" i="6"/>
  <c r="Y149" i="6" s="1"/>
  <c r="X269" i="6"/>
  <c r="Y269" i="6" s="1"/>
  <c r="X125" i="6"/>
  <c r="Y125" i="6" s="1"/>
  <c r="AD303" i="6"/>
  <c r="AE303" i="6" s="1"/>
  <c r="AD159" i="6"/>
  <c r="AE159" i="6" s="1"/>
  <c r="AD15" i="6"/>
  <c r="AE15" i="6" s="1"/>
  <c r="X293" i="6"/>
  <c r="Y293" i="6" s="1"/>
  <c r="AD39" i="6"/>
  <c r="AE39" i="6" s="1"/>
  <c r="X257" i="6"/>
  <c r="Y257" i="6" s="1"/>
  <c r="X113" i="6"/>
  <c r="Y113" i="6" s="1"/>
  <c r="AD291" i="6"/>
  <c r="AE291" i="6" s="1"/>
  <c r="AD147" i="6"/>
  <c r="AE147" i="6" s="1"/>
  <c r="AD183" i="6"/>
  <c r="AE183" i="6" s="1"/>
  <c r="X245" i="6"/>
  <c r="Y245" i="6" s="1"/>
  <c r="X101" i="6"/>
  <c r="Y101" i="6" s="1"/>
  <c r="AD279" i="6"/>
  <c r="AE279" i="6" s="1"/>
  <c r="AD135" i="6"/>
  <c r="AE135" i="6" s="1"/>
  <c r="X233" i="6"/>
  <c r="Y233" i="6" s="1"/>
  <c r="X89" i="6"/>
  <c r="Y89" i="6" s="1"/>
  <c r="AD267" i="6"/>
  <c r="AE267" i="6" s="1"/>
  <c r="AD123" i="6"/>
  <c r="AE123" i="6" s="1"/>
  <c r="X221" i="6"/>
  <c r="Y221" i="6" s="1"/>
  <c r="X77" i="6"/>
  <c r="Y77" i="6" s="1"/>
  <c r="AD255" i="6"/>
  <c r="AE255" i="6" s="1"/>
  <c r="AD111" i="6"/>
  <c r="AE111" i="6" s="1"/>
  <c r="X209" i="6"/>
  <c r="Y209" i="6" s="1"/>
  <c r="X65" i="6"/>
  <c r="Y65" i="6" s="1"/>
  <c r="AD243" i="6"/>
  <c r="AE243" i="6" s="1"/>
  <c r="AD99" i="6"/>
  <c r="AE99" i="6" s="1"/>
  <c r="X197" i="6"/>
  <c r="Y197" i="6" s="1"/>
  <c r="X53" i="6"/>
  <c r="Y53" i="6" s="1"/>
  <c r="AD231" i="6"/>
  <c r="AE231" i="6" s="1"/>
  <c r="AD87" i="6"/>
  <c r="AE87" i="6" s="1"/>
  <c r="X185" i="6"/>
  <c r="Y185" i="6" s="1"/>
  <c r="X41" i="6"/>
  <c r="Y41" i="6" s="1"/>
  <c r="AD219" i="6"/>
  <c r="AE219" i="6" s="1"/>
  <c r="AD75" i="6"/>
  <c r="AE75" i="6" s="1"/>
  <c r="X318" i="6"/>
  <c r="Y318" i="6" s="1"/>
  <c r="X306" i="6"/>
  <c r="Y306" i="6" s="1"/>
  <c r="X294" i="6"/>
  <c r="Y294" i="6" s="1"/>
  <c r="X282" i="6"/>
  <c r="Y282" i="6" s="1"/>
  <c r="X270" i="6"/>
  <c r="Y270" i="6" s="1"/>
  <c r="X258" i="6"/>
  <c r="Y258" i="6" s="1"/>
  <c r="X246" i="6"/>
  <c r="Y246" i="6" s="1"/>
  <c r="X234" i="6"/>
  <c r="Y234" i="6" s="1"/>
  <c r="X222" i="6"/>
  <c r="Y222" i="6" s="1"/>
  <c r="X210" i="6"/>
  <c r="Y210" i="6" s="1"/>
  <c r="X198" i="6"/>
  <c r="Y198" i="6" s="1"/>
  <c r="X186" i="6"/>
  <c r="Y186" i="6" s="1"/>
  <c r="X174" i="6"/>
  <c r="Y174" i="6" s="1"/>
  <c r="X162" i="6"/>
  <c r="Y162" i="6" s="1"/>
  <c r="X150" i="6"/>
  <c r="Y150" i="6" s="1"/>
  <c r="X138" i="6"/>
  <c r="Y138" i="6" s="1"/>
  <c r="X126" i="6"/>
  <c r="Y126" i="6" s="1"/>
  <c r="X114" i="6"/>
  <c r="Y114" i="6" s="1"/>
  <c r="X102" i="6"/>
  <c r="Y102" i="6" s="1"/>
  <c r="X90" i="6"/>
  <c r="Y90" i="6" s="1"/>
  <c r="X78" i="6"/>
  <c r="Y78" i="6" s="1"/>
  <c r="X66" i="6"/>
  <c r="Y66" i="6" s="1"/>
  <c r="X54" i="6"/>
  <c r="Y54" i="6" s="1"/>
  <c r="X42" i="6"/>
  <c r="Y42" i="6" s="1"/>
  <c r="X30" i="6"/>
  <c r="Y30" i="6" s="1"/>
  <c r="X18" i="6"/>
  <c r="Y18" i="6" s="1"/>
  <c r="X6" i="6"/>
  <c r="Y6" i="6" s="1"/>
  <c r="AD316" i="6"/>
  <c r="AE316" i="6" s="1"/>
  <c r="AD304" i="6"/>
  <c r="AE304" i="6" s="1"/>
  <c r="AD292" i="6"/>
  <c r="AE292" i="6" s="1"/>
  <c r="AD280" i="6"/>
  <c r="AE280" i="6" s="1"/>
  <c r="AD268" i="6"/>
  <c r="AE268" i="6" s="1"/>
  <c r="AD256" i="6"/>
  <c r="AE256" i="6" s="1"/>
  <c r="AD244" i="6"/>
  <c r="AE244" i="6" s="1"/>
  <c r="AD232" i="6"/>
  <c r="AE232" i="6" s="1"/>
  <c r="AD220" i="6"/>
  <c r="AE220" i="6" s="1"/>
  <c r="AD208" i="6"/>
  <c r="AE208" i="6" s="1"/>
  <c r="AD196" i="6"/>
  <c r="AE196" i="6" s="1"/>
  <c r="AD184" i="6"/>
  <c r="AE184" i="6" s="1"/>
  <c r="AD172" i="6"/>
  <c r="AE172" i="6" s="1"/>
  <c r="AD160" i="6"/>
  <c r="AE160" i="6" s="1"/>
  <c r="AD148" i="6"/>
  <c r="AE148" i="6" s="1"/>
  <c r="AD136" i="6"/>
  <c r="AE136" i="6" s="1"/>
  <c r="AD124" i="6"/>
  <c r="AE124" i="6" s="1"/>
  <c r="AD112" i="6"/>
  <c r="AE112" i="6" s="1"/>
  <c r="AD100" i="6"/>
  <c r="AE100" i="6" s="1"/>
  <c r="AD88" i="6"/>
  <c r="AE88" i="6" s="1"/>
  <c r="AD76" i="6"/>
  <c r="AE76" i="6" s="1"/>
  <c r="AD64" i="6"/>
  <c r="AE64" i="6" s="1"/>
  <c r="AD52" i="6"/>
  <c r="AE52" i="6" s="1"/>
  <c r="AD40" i="6"/>
  <c r="AE40" i="6" s="1"/>
  <c r="AD28" i="6"/>
  <c r="AE28" i="6" s="1"/>
  <c r="AD16" i="6"/>
  <c r="AE16" i="6" s="1"/>
  <c r="X316" i="6"/>
  <c r="Y316" i="6" s="1"/>
  <c r="X304" i="6"/>
  <c r="Y304" i="6" s="1"/>
  <c r="X292" i="6"/>
  <c r="Y292" i="6" s="1"/>
  <c r="X280" i="6"/>
  <c r="Y280" i="6" s="1"/>
  <c r="X268" i="6"/>
  <c r="Y268" i="6" s="1"/>
  <c r="X256" i="6"/>
  <c r="Y256" i="6" s="1"/>
  <c r="X244" i="6"/>
  <c r="Y244" i="6" s="1"/>
  <c r="X232" i="6"/>
  <c r="Y232" i="6" s="1"/>
  <c r="X220" i="6"/>
  <c r="Y220" i="6" s="1"/>
  <c r="X208" i="6"/>
  <c r="Y208" i="6" s="1"/>
  <c r="X196" i="6"/>
  <c r="Y196" i="6" s="1"/>
  <c r="X184" i="6"/>
  <c r="Y184" i="6" s="1"/>
  <c r="X172" i="6"/>
  <c r="Y172" i="6" s="1"/>
  <c r="X160" i="6"/>
  <c r="Y160" i="6" s="1"/>
  <c r="X148" i="6"/>
  <c r="Y148" i="6" s="1"/>
  <c r="X136" i="6"/>
  <c r="Y136" i="6" s="1"/>
  <c r="X124" i="6"/>
  <c r="Y124" i="6" s="1"/>
  <c r="X112" i="6"/>
  <c r="Y112" i="6" s="1"/>
  <c r="X100" i="6"/>
  <c r="Y100" i="6" s="1"/>
  <c r="X88" i="6"/>
  <c r="Y88" i="6" s="1"/>
  <c r="X76" i="6"/>
  <c r="Y76" i="6" s="1"/>
  <c r="X64" i="6"/>
  <c r="Y64" i="6" s="1"/>
  <c r="X52" i="6"/>
  <c r="Y52" i="6" s="1"/>
  <c r="X40" i="6"/>
  <c r="Y40" i="6" s="1"/>
  <c r="X28" i="6"/>
  <c r="Y28" i="6" s="1"/>
  <c r="X16" i="6"/>
  <c r="Y16" i="6" s="1"/>
  <c r="AD314" i="6"/>
  <c r="AE314" i="6" s="1"/>
  <c r="AD302" i="6"/>
  <c r="AE302" i="6" s="1"/>
  <c r="AD290" i="6"/>
  <c r="AE290" i="6" s="1"/>
  <c r="AD278" i="6"/>
  <c r="AE278" i="6" s="1"/>
  <c r="AD266" i="6"/>
  <c r="AE266" i="6" s="1"/>
  <c r="AD254" i="6"/>
  <c r="AE254" i="6" s="1"/>
  <c r="AD242" i="6"/>
  <c r="AE242" i="6" s="1"/>
  <c r="AD230" i="6"/>
  <c r="AE230" i="6" s="1"/>
  <c r="AD218" i="6"/>
  <c r="AE218" i="6" s="1"/>
  <c r="AD206" i="6"/>
  <c r="AE206" i="6" s="1"/>
  <c r="AD194" i="6"/>
  <c r="AE194" i="6" s="1"/>
  <c r="AD182" i="6"/>
  <c r="AE182" i="6" s="1"/>
  <c r="AD170" i="6"/>
  <c r="AE170" i="6" s="1"/>
  <c r="AD158" i="6"/>
  <c r="AE158" i="6" s="1"/>
  <c r="AD146" i="6"/>
  <c r="AE146" i="6" s="1"/>
  <c r="AD134" i="6"/>
  <c r="AE134" i="6" s="1"/>
  <c r="AD122" i="6"/>
  <c r="AE122" i="6" s="1"/>
  <c r="AD110" i="6"/>
  <c r="AE110" i="6" s="1"/>
  <c r="AD98" i="6"/>
  <c r="AE98" i="6" s="1"/>
  <c r="AD86" i="6"/>
  <c r="AE86" i="6" s="1"/>
  <c r="AD74" i="6"/>
  <c r="AE74" i="6" s="1"/>
  <c r="AD62" i="6"/>
  <c r="AE62" i="6" s="1"/>
  <c r="AD50" i="6"/>
  <c r="AE50" i="6" s="1"/>
  <c r="AD38" i="6"/>
  <c r="AE38" i="6" s="1"/>
  <c r="AD26" i="6"/>
  <c r="AE26" i="6" s="1"/>
  <c r="AD14" i="6"/>
  <c r="AE14" i="6" s="1"/>
  <c r="X315" i="6"/>
  <c r="Y315" i="6" s="1"/>
  <c r="X303" i="6"/>
  <c r="Y303" i="6" s="1"/>
  <c r="X291" i="6"/>
  <c r="Y291" i="6" s="1"/>
  <c r="X279" i="6"/>
  <c r="Y279" i="6" s="1"/>
  <c r="X267" i="6"/>
  <c r="Y267" i="6" s="1"/>
  <c r="X255" i="6"/>
  <c r="Y255" i="6" s="1"/>
  <c r="X243" i="6"/>
  <c r="Y243" i="6" s="1"/>
  <c r="X231" i="6"/>
  <c r="Y231" i="6" s="1"/>
  <c r="X219" i="6"/>
  <c r="Y219" i="6" s="1"/>
  <c r="X207" i="6"/>
  <c r="Y207" i="6" s="1"/>
  <c r="X195" i="6"/>
  <c r="Y195" i="6" s="1"/>
  <c r="X183" i="6"/>
  <c r="Y183" i="6" s="1"/>
  <c r="X171" i="6"/>
  <c r="Y171" i="6" s="1"/>
  <c r="X159" i="6"/>
  <c r="Y159" i="6" s="1"/>
  <c r="X147" i="6"/>
  <c r="Y147" i="6" s="1"/>
  <c r="X135" i="6"/>
  <c r="Y135" i="6" s="1"/>
  <c r="X123" i="6"/>
  <c r="Y123" i="6" s="1"/>
  <c r="X111" i="6"/>
  <c r="Y111" i="6" s="1"/>
  <c r="X99" i="6"/>
  <c r="Y99" i="6" s="1"/>
  <c r="X87" i="6"/>
  <c r="Y87" i="6" s="1"/>
  <c r="X75" i="6"/>
  <c r="Y75" i="6" s="1"/>
  <c r="X63" i="6"/>
  <c r="Y63" i="6" s="1"/>
  <c r="X51" i="6"/>
  <c r="Y51" i="6" s="1"/>
  <c r="X39" i="6"/>
  <c r="Y39" i="6" s="1"/>
  <c r="X27" i="6"/>
  <c r="Y27" i="6" s="1"/>
  <c r="X15" i="6"/>
  <c r="Y15" i="6" s="1"/>
  <c r="AD313" i="6"/>
  <c r="AE313" i="6" s="1"/>
  <c r="AD301" i="6"/>
  <c r="AE301" i="6" s="1"/>
  <c r="AD289" i="6"/>
  <c r="AE289" i="6" s="1"/>
  <c r="AD277" i="6"/>
  <c r="AE277" i="6" s="1"/>
  <c r="AD265" i="6"/>
  <c r="AE265" i="6" s="1"/>
  <c r="AD253" i="6"/>
  <c r="AE253" i="6" s="1"/>
  <c r="AD241" i="6"/>
  <c r="AE241" i="6" s="1"/>
  <c r="AD229" i="6"/>
  <c r="AE229" i="6" s="1"/>
  <c r="AD217" i="6"/>
  <c r="AE217" i="6" s="1"/>
  <c r="AD205" i="6"/>
  <c r="AE205" i="6" s="1"/>
  <c r="AD193" i="6"/>
  <c r="AE193" i="6" s="1"/>
  <c r="AD181" i="6"/>
  <c r="AE181" i="6" s="1"/>
  <c r="AD169" i="6"/>
  <c r="AE169" i="6" s="1"/>
  <c r="AD157" i="6"/>
  <c r="AE157" i="6" s="1"/>
  <c r="AD145" i="6"/>
  <c r="AE145" i="6" s="1"/>
  <c r="AD133" i="6"/>
  <c r="AE133" i="6" s="1"/>
  <c r="AD121" i="6"/>
  <c r="AE121" i="6" s="1"/>
  <c r="AD109" i="6"/>
  <c r="AE109" i="6" s="1"/>
  <c r="AD97" i="6"/>
  <c r="AE97" i="6" s="1"/>
  <c r="AD85" i="6"/>
  <c r="AE85" i="6" s="1"/>
  <c r="AD73" i="6"/>
  <c r="AE73" i="6" s="1"/>
  <c r="AD61" i="6"/>
  <c r="AE61" i="6" s="1"/>
  <c r="AD49" i="6"/>
  <c r="AE49" i="6" s="1"/>
  <c r="AD37" i="6"/>
  <c r="AE37" i="6" s="1"/>
  <c r="AD25" i="6"/>
  <c r="AE25" i="6" s="1"/>
  <c r="AD13" i="6"/>
  <c r="AE13" i="6" s="1"/>
  <c r="X314" i="6"/>
  <c r="Y314" i="6" s="1"/>
  <c r="X302" i="6"/>
  <c r="Y302" i="6" s="1"/>
  <c r="X290" i="6"/>
  <c r="Y290" i="6" s="1"/>
  <c r="X278" i="6"/>
  <c r="Y278" i="6" s="1"/>
  <c r="X266" i="6"/>
  <c r="Y266" i="6" s="1"/>
  <c r="X254" i="6"/>
  <c r="Y254" i="6" s="1"/>
  <c r="X242" i="6"/>
  <c r="Y242" i="6" s="1"/>
  <c r="X230" i="6"/>
  <c r="Y230" i="6" s="1"/>
  <c r="X218" i="6"/>
  <c r="Y218" i="6" s="1"/>
  <c r="X206" i="6"/>
  <c r="Y206" i="6" s="1"/>
  <c r="X194" i="6"/>
  <c r="Y194" i="6" s="1"/>
  <c r="X182" i="6"/>
  <c r="Y182" i="6" s="1"/>
  <c r="X170" i="6"/>
  <c r="Y170" i="6" s="1"/>
  <c r="X158" i="6"/>
  <c r="Y158" i="6" s="1"/>
  <c r="X146" i="6"/>
  <c r="Y146" i="6" s="1"/>
  <c r="X134" i="6"/>
  <c r="Y134" i="6" s="1"/>
  <c r="X122" i="6"/>
  <c r="Y122" i="6" s="1"/>
  <c r="X110" i="6"/>
  <c r="Y110" i="6" s="1"/>
  <c r="X98" i="6"/>
  <c r="Y98" i="6" s="1"/>
  <c r="X86" i="6"/>
  <c r="Y86" i="6" s="1"/>
  <c r="X74" i="6"/>
  <c r="Y74" i="6" s="1"/>
  <c r="X62" i="6"/>
  <c r="Y62" i="6" s="1"/>
  <c r="X50" i="6"/>
  <c r="Y50" i="6" s="1"/>
  <c r="X38" i="6"/>
  <c r="Y38" i="6" s="1"/>
  <c r="X26" i="6"/>
  <c r="Y26" i="6" s="1"/>
  <c r="X14" i="6"/>
  <c r="Y14" i="6" s="1"/>
  <c r="AD324" i="6"/>
  <c r="AE324" i="6" s="1"/>
  <c r="AD312" i="6"/>
  <c r="AE312" i="6" s="1"/>
  <c r="AD300" i="6"/>
  <c r="AE300" i="6" s="1"/>
  <c r="AD288" i="6"/>
  <c r="AE288" i="6" s="1"/>
  <c r="AD276" i="6"/>
  <c r="AE276" i="6" s="1"/>
  <c r="AD264" i="6"/>
  <c r="AE264" i="6" s="1"/>
  <c r="AD252" i="6"/>
  <c r="AE252" i="6" s="1"/>
  <c r="AD240" i="6"/>
  <c r="AE240" i="6" s="1"/>
  <c r="AD228" i="6"/>
  <c r="AE228" i="6" s="1"/>
  <c r="AD216" i="6"/>
  <c r="AE216" i="6" s="1"/>
  <c r="AD204" i="6"/>
  <c r="AE204" i="6" s="1"/>
  <c r="AD192" i="6"/>
  <c r="AE192" i="6" s="1"/>
  <c r="AD180" i="6"/>
  <c r="AE180" i="6" s="1"/>
  <c r="AD168" i="6"/>
  <c r="AE168" i="6" s="1"/>
  <c r="AD156" i="6"/>
  <c r="AE156" i="6" s="1"/>
  <c r="AD144" i="6"/>
  <c r="AE144" i="6" s="1"/>
  <c r="AD132" i="6"/>
  <c r="AE132" i="6" s="1"/>
  <c r="AD120" i="6"/>
  <c r="AE120" i="6" s="1"/>
  <c r="AD108" i="6"/>
  <c r="AE108" i="6" s="1"/>
  <c r="AD96" i="6"/>
  <c r="AE96" i="6" s="1"/>
  <c r="AD84" i="6"/>
  <c r="AE84" i="6" s="1"/>
  <c r="AD72" i="6"/>
  <c r="AE72" i="6" s="1"/>
  <c r="AD60" i="6"/>
  <c r="AE60" i="6" s="1"/>
  <c r="AD48" i="6"/>
  <c r="AE48" i="6" s="1"/>
  <c r="AD36" i="6"/>
  <c r="AE36" i="6" s="1"/>
  <c r="AD24" i="6"/>
  <c r="AE24" i="6" s="1"/>
  <c r="AD12" i="6"/>
  <c r="AE12" i="6" s="1"/>
  <c r="X313" i="6"/>
  <c r="Y313" i="6" s="1"/>
  <c r="X301" i="6"/>
  <c r="Y301" i="6" s="1"/>
  <c r="X289" i="6"/>
  <c r="Y289" i="6" s="1"/>
  <c r="X277" i="6"/>
  <c r="Y277" i="6" s="1"/>
  <c r="X265" i="6"/>
  <c r="Y265" i="6" s="1"/>
  <c r="X253" i="6"/>
  <c r="Y253" i="6" s="1"/>
  <c r="X241" i="6"/>
  <c r="Y241" i="6" s="1"/>
  <c r="X229" i="6"/>
  <c r="Y229" i="6" s="1"/>
  <c r="X217" i="6"/>
  <c r="Y217" i="6" s="1"/>
  <c r="X205" i="6"/>
  <c r="Y205" i="6" s="1"/>
  <c r="X193" i="6"/>
  <c r="Y193" i="6" s="1"/>
  <c r="X181" i="6"/>
  <c r="Y181" i="6" s="1"/>
  <c r="X169" i="6"/>
  <c r="Y169" i="6" s="1"/>
  <c r="X157" i="6"/>
  <c r="Y157" i="6" s="1"/>
  <c r="X145" i="6"/>
  <c r="Y145" i="6" s="1"/>
  <c r="X133" i="6"/>
  <c r="Y133" i="6" s="1"/>
  <c r="X121" i="6"/>
  <c r="Y121" i="6" s="1"/>
  <c r="X109" i="6"/>
  <c r="Y109" i="6" s="1"/>
  <c r="X97" i="6"/>
  <c r="Y97" i="6" s="1"/>
  <c r="X85" i="6"/>
  <c r="Y85" i="6" s="1"/>
  <c r="X73" i="6"/>
  <c r="Y73" i="6" s="1"/>
  <c r="X61" i="6"/>
  <c r="Y61" i="6" s="1"/>
  <c r="X49" i="6"/>
  <c r="Y49" i="6" s="1"/>
  <c r="X37" i="6"/>
  <c r="Y37" i="6" s="1"/>
  <c r="X25" i="6"/>
  <c r="Y25" i="6" s="1"/>
  <c r="X13" i="6"/>
  <c r="Y13" i="6" s="1"/>
  <c r="AD323" i="6"/>
  <c r="AE323" i="6" s="1"/>
  <c r="AD311" i="6"/>
  <c r="AE311" i="6" s="1"/>
  <c r="AD299" i="6"/>
  <c r="AE299" i="6" s="1"/>
  <c r="AD287" i="6"/>
  <c r="AE287" i="6" s="1"/>
  <c r="AD275" i="6"/>
  <c r="AE275" i="6" s="1"/>
  <c r="AD263" i="6"/>
  <c r="AE263" i="6" s="1"/>
  <c r="AD251" i="6"/>
  <c r="AE251" i="6" s="1"/>
  <c r="AD239" i="6"/>
  <c r="AE239" i="6" s="1"/>
  <c r="AD227" i="6"/>
  <c r="AE227" i="6" s="1"/>
  <c r="AD215" i="6"/>
  <c r="AE215" i="6" s="1"/>
  <c r="AD203" i="6"/>
  <c r="AE203" i="6" s="1"/>
  <c r="AD191" i="6"/>
  <c r="AE191" i="6" s="1"/>
  <c r="AD179" i="6"/>
  <c r="AE179" i="6" s="1"/>
  <c r="AD167" i="6"/>
  <c r="AE167" i="6" s="1"/>
  <c r="AD155" i="6"/>
  <c r="AE155" i="6" s="1"/>
  <c r="AD143" i="6"/>
  <c r="AE143" i="6" s="1"/>
  <c r="AD131" i="6"/>
  <c r="AE131" i="6" s="1"/>
  <c r="AD119" i="6"/>
  <c r="AE119" i="6" s="1"/>
  <c r="AD107" i="6"/>
  <c r="AE107" i="6" s="1"/>
  <c r="AD95" i="6"/>
  <c r="AE95" i="6" s="1"/>
  <c r="AD83" i="6"/>
  <c r="AE83" i="6" s="1"/>
  <c r="AD71" i="6"/>
  <c r="AE71" i="6" s="1"/>
  <c r="AD59" i="6"/>
  <c r="AE59" i="6" s="1"/>
  <c r="AD47" i="6"/>
  <c r="AE47" i="6" s="1"/>
  <c r="AD35" i="6"/>
  <c r="AE35" i="6" s="1"/>
  <c r="AD23" i="6"/>
  <c r="AE23" i="6" s="1"/>
  <c r="AD11" i="6"/>
  <c r="AE11" i="6" s="1"/>
  <c r="X324" i="6"/>
  <c r="Y324" i="6" s="1"/>
  <c r="X312" i="6"/>
  <c r="Y312" i="6" s="1"/>
  <c r="X300" i="6"/>
  <c r="Y300" i="6" s="1"/>
  <c r="X288" i="6"/>
  <c r="Y288" i="6" s="1"/>
  <c r="X276" i="6"/>
  <c r="Y276" i="6" s="1"/>
  <c r="X264" i="6"/>
  <c r="Y264" i="6" s="1"/>
  <c r="X252" i="6"/>
  <c r="Y252" i="6" s="1"/>
  <c r="X240" i="6"/>
  <c r="Y240" i="6" s="1"/>
  <c r="X228" i="6"/>
  <c r="Y228" i="6" s="1"/>
  <c r="X216" i="6"/>
  <c r="Y216" i="6" s="1"/>
  <c r="X204" i="6"/>
  <c r="Y204" i="6" s="1"/>
  <c r="X192" i="6"/>
  <c r="Y192" i="6" s="1"/>
  <c r="X180" i="6"/>
  <c r="Y180" i="6" s="1"/>
  <c r="X168" i="6"/>
  <c r="Y168" i="6" s="1"/>
  <c r="X156" i="6"/>
  <c r="Y156" i="6" s="1"/>
  <c r="X144" i="6"/>
  <c r="Y144" i="6" s="1"/>
  <c r="X132" i="6"/>
  <c r="Y132" i="6" s="1"/>
  <c r="X120" i="6"/>
  <c r="Y120" i="6" s="1"/>
  <c r="X108" i="6"/>
  <c r="Y108" i="6" s="1"/>
  <c r="X96" i="6"/>
  <c r="Y96" i="6" s="1"/>
  <c r="X84" i="6"/>
  <c r="Y84" i="6" s="1"/>
  <c r="X72" i="6"/>
  <c r="Y72" i="6" s="1"/>
  <c r="X60" i="6"/>
  <c r="Y60" i="6" s="1"/>
  <c r="X48" i="6"/>
  <c r="Y48" i="6" s="1"/>
  <c r="X36" i="6"/>
  <c r="Y36" i="6" s="1"/>
  <c r="X24" i="6"/>
  <c r="Y24" i="6" s="1"/>
  <c r="X12" i="6"/>
  <c r="Y12" i="6" s="1"/>
  <c r="AD322" i="6"/>
  <c r="AE322" i="6" s="1"/>
  <c r="AD310" i="6"/>
  <c r="AE310" i="6" s="1"/>
  <c r="AD298" i="6"/>
  <c r="AE298" i="6" s="1"/>
  <c r="AD286" i="6"/>
  <c r="AE286" i="6" s="1"/>
  <c r="AD274" i="6"/>
  <c r="AE274" i="6" s="1"/>
  <c r="AD262" i="6"/>
  <c r="AE262" i="6" s="1"/>
  <c r="AD250" i="6"/>
  <c r="AE250" i="6" s="1"/>
  <c r="AD238" i="6"/>
  <c r="AE238" i="6" s="1"/>
  <c r="AD226" i="6"/>
  <c r="AE226" i="6" s="1"/>
  <c r="AD214" i="6"/>
  <c r="AE214" i="6" s="1"/>
  <c r="AD202" i="6"/>
  <c r="AE202" i="6" s="1"/>
  <c r="AD190" i="6"/>
  <c r="AE190" i="6" s="1"/>
  <c r="AD178" i="6"/>
  <c r="AE178" i="6" s="1"/>
  <c r="AD166" i="6"/>
  <c r="AE166" i="6" s="1"/>
  <c r="AD154" i="6"/>
  <c r="AE154" i="6" s="1"/>
  <c r="AD142" i="6"/>
  <c r="AE142" i="6" s="1"/>
  <c r="AD130" i="6"/>
  <c r="AE130" i="6" s="1"/>
  <c r="AD118" i="6"/>
  <c r="AE118" i="6" s="1"/>
  <c r="AD106" i="6"/>
  <c r="AE106" i="6" s="1"/>
  <c r="AD94" i="6"/>
  <c r="AE94" i="6" s="1"/>
  <c r="AD82" i="6"/>
  <c r="AE82" i="6" s="1"/>
  <c r="AD70" i="6"/>
  <c r="AE70" i="6" s="1"/>
  <c r="AD58" i="6"/>
  <c r="AE58" i="6" s="1"/>
  <c r="AD46" i="6"/>
  <c r="AE46" i="6" s="1"/>
  <c r="AD34" i="6"/>
  <c r="AE34" i="6" s="1"/>
  <c r="AD22" i="6"/>
  <c r="AE22" i="6" s="1"/>
  <c r="AD10" i="6"/>
  <c r="AE10" i="6" s="1"/>
  <c r="X323" i="6"/>
  <c r="Y323" i="6" s="1"/>
  <c r="X311" i="6"/>
  <c r="Y311" i="6" s="1"/>
  <c r="X299" i="6"/>
  <c r="Y299" i="6" s="1"/>
  <c r="X287" i="6"/>
  <c r="Y287" i="6" s="1"/>
  <c r="X275" i="6"/>
  <c r="Y275" i="6" s="1"/>
  <c r="X263" i="6"/>
  <c r="Y263" i="6" s="1"/>
  <c r="X251" i="6"/>
  <c r="Y251" i="6" s="1"/>
  <c r="X239" i="6"/>
  <c r="Y239" i="6" s="1"/>
  <c r="X227" i="6"/>
  <c r="Y227" i="6" s="1"/>
  <c r="X215" i="6"/>
  <c r="Y215" i="6" s="1"/>
  <c r="X203" i="6"/>
  <c r="Y203" i="6" s="1"/>
  <c r="X191" i="6"/>
  <c r="Y191" i="6" s="1"/>
  <c r="X179" i="6"/>
  <c r="Y179" i="6" s="1"/>
  <c r="X167" i="6"/>
  <c r="Y167" i="6" s="1"/>
  <c r="X155" i="6"/>
  <c r="Y155" i="6" s="1"/>
  <c r="X143" i="6"/>
  <c r="Y143" i="6" s="1"/>
  <c r="X131" i="6"/>
  <c r="Y131" i="6" s="1"/>
  <c r="X119" i="6"/>
  <c r="Y119" i="6" s="1"/>
  <c r="X107" i="6"/>
  <c r="Y107" i="6" s="1"/>
  <c r="X95" i="6"/>
  <c r="Y95" i="6" s="1"/>
  <c r="X83" i="6"/>
  <c r="Y83" i="6" s="1"/>
  <c r="X71" i="6"/>
  <c r="Y71" i="6" s="1"/>
  <c r="X59" i="6"/>
  <c r="Y59" i="6" s="1"/>
  <c r="X47" i="6"/>
  <c r="Y47" i="6" s="1"/>
  <c r="X35" i="6"/>
  <c r="Y35" i="6" s="1"/>
  <c r="X23" i="6"/>
  <c r="Y23" i="6" s="1"/>
  <c r="X11" i="6"/>
  <c r="Y11" i="6" s="1"/>
  <c r="AD321" i="6"/>
  <c r="AE321" i="6" s="1"/>
  <c r="AD309" i="6"/>
  <c r="AE309" i="6" s="1"/>
  <c r="AD297" i="6"/>
  <c r="AE297" i="6" s="1"/>
  <c r="AD285" i="6"/>
  <c r="AE285" i="6" s="1"/>
  <c r="AD273" i="6"/>
  <c r="AE273" i="6" s="1"/>
  <c r="AD261" i="6"/>
  <c r="AE261" i="6" s="1"/>
  <c r="AD249" i="6"/>
  <c r="AE249" i="6" s="1"/>
  <c r="AD237" i="6"/>
  <c r="AE237" i="6" s="1"/>
  <c r="AD225" i="6"/>
  <c r="AE225" i="6" s="1"/>
  <c r="AD213" i="6"/>
  <c r="AE213" i="6" s="1"/>
  <c r="AD201" i="6"/>
  <c r="AE201" i="6" s="1"/>
  <c r="AD189" i="6"/>
  <c r="AE189" i="6" s="1"/>
  <c r="AD177" i="6"/>
  <c r="AE177" i="6" s="1"/>
  <c r="AD165" i="6"/>
  <c r="AE165" i="6" s="1"/>
  <c r="AD153" i="6"/>
  <c r="AE153" i="6" s="1"/>
  <c r="AD141" i="6"/>
  <c r="AE141" i="6" s="1"/>
  <c r="AD129" i="6"/>
  <c r="AE129" i="6" s="1"/>
  <c r="AD117" i="6"/>
  <c r="AE117" i="6" s="1"/>
  <c r="AD105" i="6"/>
  <c r="AE105" i="6" s="1"/>
  <c r="AD93" i="6"/>
  <c r="AE93" i="6" s="1"/>
  <c r="AD81" i="6"/>
  <c r="AE81" i="6" s="1"/>
  <c r="AD69" i="6"/>
  <c r="AE69" i="6" s="1"/>
  <c r="AD57" i="6"/>
  <c r="AE57" i="6" s="1"/>
  <c r="AD45" i="6"/>
  <c r="AE45" i="6" s="1"/>
  <c r="AD33" i="6"/>
  <c r="AE33" i="6" s="1"/>
  <c r="AD21" i="6"/>
  <c r="AE21" i="6" s="1"/>
  <c r="AD9" i="6"/>
  <c r="AE9" i="6" s="1"/>
  <c r="X322" i="6"/>
  <c r="Y322" i="6" s="1"/>
  <c r="X310" i="6"/>
  <c r="Y310" i="6" s="1"/>
  <c r="X298" i="6"/>
  <c r="Y298" i="6" s="1"/>
  <c r="X286" i="6"/>
  <c r="Y286" i="6" s="1"/>
  <c r="X274" i="6"/>
  <c r="Y274" i="6" s="1"/>
  <c r="X262" i="6"/>
  <c r="Y262" i="6" s="1"/>
  <c r="X250" i="6"/>
  <c r="Y250" i="6" s="1"/>
  <c r="X238" i="6"/>
  <c r="Y238" i="6" s="1"/>
  <c r="X226" i="6"/>
  <c r="Y226" i="6" s="1"/>
  <c r="X214" i="6"/>
  <c r="Y214" i="6" s="1"/>
  <c r="X202" i="6"/>
  <c r="Y202" i="6" s="1"/>
  <c r="X190" i="6"/>
  <c r="Y190" i="6" s="1"/>
  <c r="X178" i="6"/>
  <c r="Y178" i="6" s="1"/>
  <c r="X166" i="6"/>
  <c r="Y166" i="6" s="1"/>
  <c r="X154" i="6"/>
  <c r="Y154" i="6" s="1"/>
  <c r="X142" i="6"/>
  <c r="Y142" i="6" s="1"/>
  <c r="X130" i="6"/>
  <c r="Y130" i="6" s="1"/>
  <c r="X118" i="6"/>
  <c r="Y118" i="6" s="1"/>
  <c r="X106" i="6"/>
  <c r="Y106" i="6" s="1"/>
  <c r="X94" i="6"/>
  <c r="Y94" i="6" s="1"/>
  <c r="X82" i="6"/>
  <c r="Y82" i="6" s="1"/>
  <c r="X70" i="6"/>
  <c r="Y70" i="6" s="1"/>
  <c r="X58" i="6"/>
  <c r="Y58" i="6" s="1"/>
  <c r="X46" i="6"/>
  <c r="Y46" i="6" s="1"/>
  <c r="X34" i="6"/>
  <c r="Y34" i="6" s="1"/>
  <c r="X22" i="6"/>
  <c r="Y22" i="6" s="1"/>
  <c r="X10" i="6"/>
  <c r="Y10" i="6" s="1"/>
  <c r="AD320" i="6"/>
  <c r="AE320" i="6" s="1"/>
  <c r="AD308" i="6"/>
  <c r="AE308" i="6" s="1"/>
  <c r="AD296" i="6"/>
  <c r="AE296" i="6" s="1"/>
  <c r="AD284" i="6"/>
  <c r="AE284" i="6" s="1"/>
  <c r="AD272" i="6"/>
  <c r="AE272" i="6" s="1"/>
  <c r="AD260" i="6"/>
  <c r="AE260" i="6" s="1"/>
  <c r="AD248" i="6"/>
  <c r="AE248" i="6" s="1"/>
  <c r="AD236" i="6"/>
  <c r="AE236" i="6" s="1"/>
  <c r="AD224" i="6"/>
  <c r="AE224" i="6" s="1"/>
  <c r="AD212" i="6"/>
  <c r="AE212" i="6" s="1"/>
  <c r="AD200" i="6"/>
  <c r="AE200" i="6" s="1"/>
  <c r="AD188" i="6"/>
  <c r="AE188" i="6" s="1"/>
  <c r="AD176" i="6"/>
  <c r="AE176" i="6" s="1"/>
  <c r="AD164" i="6"/>
  <c r="AE164" i="6" s="1"/>
  <c r="AD152" i="6"/>
  <c r="AE152" i="6" s="1"/>
  <c r="AD140" i="6"/>
  <c r="AE140" i="6" s="1"/>
  <c r="AD128" i="6"/>
  <c r="AE128" i="6" s="1"/>
  <c r="AD116" i="6"/>
  <c r="AE116" i="6" s="1"/>
  <c r="AD104" i="6"/>
  <c r="AE104" i="6" s="1"/>
  <c r="AD92" i="6"/>
  <c r="AE92" i="6" s="1"/>
  <c r="AD80" i="6"/>
  <c r="AE80" i="6" s="1"/>
  <c r="AD68" i="6"/>
  <c r="AE68" i="6" s="1"/>
  <c r="AD56" i="6"/>
  <c r="AE56" i="6" s="1"/>
  <c r="AD44" i="6"/>
  <c r="AE44" i="6" s="1"/>
  <c r="AD32" i="6"/>
  <c r="AE32" i="6" s="1"/>
  <c r="AD20" i="6"/>
  <c r="AE20" i="6" s="1"/>
  <c r="AD8" i="6"/>
  <c r="AE8" i="6" s="1"/>
  <c r="X321" i="6"/>
  <c r="Y321" i="6" s="1"/>
  <c r="X309" i="6"/>
  <c r="Y309" i="6" s="1"/>
  <c r="X297" i="6"/>
  <c r="Y297" i="6" s="1"/>
  <c r="X285" i="6"/>
  <c r="Y285" i="6" s="1"/>
  <c r="X273" i="6"/>
  <c r="Y273" i="6" s="1"/>
  <c r="X261" i="6"/>
  <c r="Y261" i="6" s="1"/>
  <c r="X249" i="6"/>
  <c r="Y249" i="6" s="1"/>
  <c r="X237" i="6"/>
  <c r="Y237" i="6" s="1"/>
  <c r="X225" i="6"/>
  <c r="Y225" i="6" s="1"/>
  <c r="X213" i="6"/>
  <c r="Y213" i="6" s="1"/>
  <c r="X201" i="6"/>
  <c r="Y201" i="6" s="1"/>
  <c r="X189" i="6"/>
  <c r="Y189" i="6" s="1"/>
  <c r="X177" i="6"/>
  <c r="Y177" i="6" s="1"/>
  <c r="X165" i="6"/>
  <c r="Y165" i="6" s="1"/>
  <c r="X153" i="6"/>
  <c r="Y153" i="6" s="1"/>
  <c r="X141" i="6"/>
  <c r="Y141" i="6" s="1"/>
  <c r="X129" i="6"/>
  <c r="Y129" i="6" s="1"/>
  <c r="X117" i="6"/>
  <c r="Y117" i="6" s="1"/>
  <c r="X105" i="6"/>
  <c r="Y105" i="6" s="1"/>
  <c r="X93" i="6"/>
  <c r="Y93" i="6" s="1"/>
  <c r="X81" i="6"/>
  <c r="Y81" i="6" s="1"/>
  <c r="X69" i="6"/>
  <c r="Y69" i="6" s="1"/>
  <c r="X57" i="6"/>
  <c r="Y57" i="6" s="1"/>
  <c r="X45" i="6"/>
  <c r="Y45" i="6" s="1"/>
  <c r="X33" i="6"/>
  <c r="Y33" i="6" s="1"/>
  <c r="X21" i="6"/>
  <c r="Y21" i="6" s="1"/>
  <c r="X9" i="6"/>
  <c r="Y9" i="6" s="1"/>
  <c r="AD319" i="6"/>
  <c r="AE319" i="6" s="1"/>
  <c r="AD307" i="6"/>
  <c r="AE307" i="6" s="1"/>
  <c r="AD295" i="6"/>
  <c r="AE295" i="6" s="1"/>
  <c r="AD283" i="6"/>
  <c r="AE283" i="6" s="1"/>
  <c r="AD271" i="6"/>
  <c r="AE271" i="6" s="1"/>
  <c r="AD259" i="6"/>
  <c r="AE259" i="6" s="1"/>
  <c r="AD247" i="6"/>
  <c r="AE247" i="6" s="1"/>
  <c r="AD235" i="6"/>
  <c r="AE235" i="6" s="1"/>
  <c r="AD223" i="6"/>
  <c r="AE223" i="6" s="1"/>
  <c r="AD211" i="6"/>
  <c r="AE211" i="6" s="1"/>
  <c r="AD199" i="6"/>
  <c r="AE199" i="6" s="1"/>
  <c r="AD187" i="6"/>
  <c r="AE187" i="6" s="1"/>
  <c r="AD175" i="6"/>
  <c r="AE175" i="6" s="1"/>
  <c r="AD163" i="6"/>
  <c r="AE163" i="6" s="1"/>
  <c r="AD151" i="6"/>
  <c r="AE151" i="6" s="1"/>
  <c r="AD139" i="6"/>
  <c r="AE139" i="6" s="1"/>
  <c r="AD127" i="6"/>
  <c r="AE127" i="6" s="1"/>
  <c r="AD115" i="6"/>
  <c r="AE115" i="6" s="1"/>
  <c r="AD103" i="6"/>
  <c r="AE103" i="6" s="1"/>
  <c r="AD91" i="6"/>
  <c r="AE91" i="6" s="1"/>
  <c r="AD79" i="6"/>
  <c r="AE79" i="6" s="1"/>
  <c r="AD67" i="6"/>
  <c r="AE67" i="6" s="1"/>
  <c r="AD55" i="6"/>
  <c r="AE55" i="6" s="1"/>
  <c r="AD43" i="6"/>
  <c r="AE43" i="6" s="1"/>
  <c r="AD31" i="6"/>
  <c r="AE31" i="6" s="1"/>
  <c r="AD19" i="6"/>
  <c r="AE19" i="6" s="1"/>
  <c r="AD7" i="6"/>
  <c r="AE7" i="6" s="1"/>
  <c r="X320" i="6"/>
  <c r="Y320" i="6" s="1"/>
  <c r="X308" i="6"/>
  <c r="Y308" i="6" s="1"/>
  <c r="X296" i="6"/>
  <c r="Y296" i="6" s="1"/>
  <c r="X284" i="6"/>
  <c r="Y284" i="6" s="1"/>
  <c r="X272" i="6"/>
  <c r="Y272" i="6" s="1"/>
  <c r="X260" i="6"/>
  <c r="Y260" i="6" s="1"/>
  <c r="X248" i="6"/>
  <c r="Y248" i="6" s="1"/>
  <c r="X236" i="6"/>
  <c r="Y236" i="6" s="1"/>
  <c r="X224" i="6"/>
  <c r="Y224" i="6" s="1"/>
  <c r="X212" i="6"/>
  <c r="Y212" i="6" s="1"/>
  <c r="X200" i="6"/>
  <c r="Y200" i="6" s="1"/>
  <c r="X188" i="6"/>
  <c r="Y188" i="6" s="1"/>
  <c r="X176" i="6"/>
  <c r="Y176" i="6" s="1"/>
  <c r="X164" i="6"/>
  <c r="Y164" i="6" s="1"/>
  <c r="X152" i="6"/>
  <c r="Y152" i="6" s="1"/>
  <c r="X140" i="6"/>
  <c r="Y140" i="6" s="1"/>
  <c r="X128" i="6"/>
  <c r="Y128" i="6" s="1"/>
  <c r="X116" i="6"/>
  <c r="Y116" i="6" s="1"/>
  <c r="X104" i="6"/>
  <c r="Y104" i="6" s="1"/>
  <c r="X92" i="6"/>
  <c r="Y92" i="6" s="1"/>
  <c r="X80" i="6"/>
  <c r="Y80" i="6" s="1"/>
  <c r="X68" i="6"/>
  <c r="Y68" i="6" s="1"/>
  <c r="X56" i="6"/>
  <c r="Y56" i="6" s="1"/>
  <c r="X44" i="6"/>
  <c r="Y44" i="6" s="1"/>
  <c r="X32" i="6"/>
  <c r="Y32" i="6" s="1"/>
  <c r="X20" i="6"/>
  <c r="Y20" i="6" s="1"/>
  <c r="X8" i="6"/>
  <c r="Y8" i="6" s="1"/>
  <c r="AD318" i="6"/>
  <c r="AE318" i="6" s="1"/>
  <c r="AD306" i="6"/>
  <c r="AE306" i="6" s="1"/>
  <c r="AD294" i="6"/>
  <c r="AE294" i="6" s="1"/>
  <c r="AD282" i="6"/>
  <c r="AE282" i="6" s="1"/>
  <c r="AD270" i="6"/>
  <c r="AE270" i="6" s="1"/>
  <c r="AD258" i="6"/>
  <c r="AE258" i="6" s="1"/>
  <c r="AD246" i="6"/>
  <c r="AE246" i="6" s="1"/>
  <c r="AD234" i="6"/>
  <c r="AE234" i="6" s="1"/>
  <c r="AD222" i="6"/>
  <c r="AE222" i="6" s="1"/>
  <c r="AD210" i="6"/>
  <c r="AE210" i="6" s="1"/>
  <c r="AD198" i="6"/>
  <c r="AE198" i="6" s="1"/>
  <c r="AD186" i="6"/>
  <c r="AE186" i="6" s="1"/>
  <c r="AD174" i="6"/>
  <c r="AE174" i="6" s="1"/>
  <c r="AD162" i="6"/>
  <c r="AE162" i="6" s="1"/>
  <c r="AD150" i="6"/>
  <c r="AE150" i="6" s="1"/>
  <c r="AD138" i="6"/>
  <c r="AE138" i="6" s="1"/>
  <c r="AD126" i="6"/>
  <c r="AE126" i="6" s="1"/>
  <c r="AD114" i="6"/>
  <c r="AE114" i="6" s="1"/>
  <c r="AD102" i="6"/>
  <c r="AE102" i="6" s="1"/>
  <c r="AD90" i="6"/>
  <c r="AE90" i="6" s="1"/>
  <c r="AD78" i="6"/>
  <c r="AE78" i="6" s="1"/>
  <c r="AD66" i="6"/>
  <c r="AE66" i="6" s="1"/>
  <c r="AD54" i="6"/>
  <c r="AE54" i="6" s="1"/>
  <c r="AD42" i="6"/>
  <c r="AE42" i="6" s="1"/>
  <c r="AD30" i="6"/>
  <c r="AE30" i="6" s="1"/>
  <c r="AD18" i="6"/>
  <c r="AE18" i="6" s="1"/>
  <c r="AD6" i="6"/>
  <c r="AE6" i="6" s="1"/>
  <c r="X319" i="6"/>
  <c r="Y319" i="6" s="1"/>
  <c r="X307" i="6"/>
  <c r="Y307" i="6" s="1"/>
  <c r="X295" i="6"/>
  <c r="Y295" i="6" s="1"/>
  <c r="X283" i="6"/>
  <c r="Y283" i="6" s="1"/>
  <c r="X271" i="6"/>
  <c r="Y271" i="6" s="1"/>
  <c r="X259" i="6"/>
  <c r="Y259" i="6" s="1"/>
  <c r="X247" i="6"/>
  <c r="Y247" i="6" s="1"/>
  <c r="X235" i="6"/>
  <c r="Y235" i="6" s="1"/>
  <c r="X223" i="6"/>
  <c r="Y223" i="6" s="1"/>
  <c r="X211" i="6"/>
  <c r="Y211" i="6" s="1"/>
  <c r="X199" i="6"/>
  <c r="Y199" i="6" s="1"/>
  <c r="X187" i="6"/>
  <c r="Y187" i="6" s="1"/>
  <c r="X175" i="6"/>
  <c r="Y175" i="6" s="1"/>
  <c r="X163" i="6"/>
  <c r="Y163" i="6" s="1"/>
  <c r="X151" i="6"/>
  <c r="Y151" i="6" s="1"/>
  <c r="X139" i="6"/>
  <c r="Y139" i="6" s="1"/>
  <c r="X127" i="6"/>
  <c r="Y127" i="6" s="1"/>
  <c r="X115" i="6"/>
  <c r="Y115" i="6" s="1"/>
  <c r="X103" i="6"/>
  <c r="Y103" i="6" s="1"/>
  <c r="X91" i="6"/>
  <c r="Y91" i="6" s="1"/>
  <c r="X79" i="6"/>
  <c r="Y79" i="6" s="1"/>
  <c r="X67" i="6"/>
  <c r="Y67" i="6" s="1"/>
  <c r="X55" i="6"/>
  <c r="Y55" i="6" s="1"/>
  <c r="X43" i="6"/>
  <c r="Y43" i="6" s="1"/>
  <c r="X31" i="6"/>
  <c r="Y31" i="6" s="1"/>
  <c r="X19" i="6"/>
  <c r="Y19" i="6" s="1"/>
  <c r="X7" i="6"/>
  <c r="Y7" i="6" s="1"/>
  <c r="AD317" i="6"/>
  <c r="AE317" i="6" s="1"/>
  <c r="AD305" i="6"/>
  <c r="AE305" i="6" s="1"/>
  <c r="AD293" i="6"/>
  <c r="AE293" i="6" s="1"/>
  <c r="AD281" i="6"/>
  <c r="AE281" i="6" s="1"/>
  <c r="AD269" i="6"/>
  <c r="AE269" i="6" s="1"/>
  <c r="AD257" i="6"/>
  <c r="AE257" i="6" s="1"/>
  <c r="AD245" i="6"/>
  <c r="AE245" i="6" s="1"/>
  <c r="AD233" i="6"/>
  <c r="AE233" i="6" s="1"/>
  <c r="AD221" i="6"/>
  <c r="AE221" i="6" s="1"/>
  <c r="AD209" i="6"/>
  <c r="AE209" i="6" s="1"/>
  <c r="AD197" i="6"/>
  <c r="AE197" i="6" s="1"/>
  <c r="AD185" i="6"/>
  <c r="AE185" i="6" s="1"/>
  <c r="AD173" i="6"/>
  <c r="AE173" i="6" s="1"/>
  <c r="AD161" i="6"/>
  <c r="AE161" i="6" s="1"/>
  <c r="AD149" i="6"/>
  <c r="AE149" i="6" s="1"/>
  <c r="AD137" i="6"/>
  <c r="AE137" i="6" s="1"/>
  <c r="AD125" i="6"/>
  <c r="AE125" i="6" s="1"/>
  <c r="AD113" i="6"/>
  <c r="AE113" i="6" s="1"/>
  <c r="AD101" i="6"/>
  <c r="AE101" i="6" s="1"/>
  <c r="AD89" i="6"/>
  <c r="AE89" i="6" s="1"/>
  <c r="AD77" i="6"/>
  <c r="AE77" i="6" s="1"/>
  <c r="AD65" i="6"/>
  <c r="AE65" i="6" s="1"/>
  <c r="AD53" i="6"/>
  <c r="AE53" i="6" s="1"/>
  <c r="AD41" i="6"/>
  <c r="AE41" i="6" s="1"/>
  <c r="AD29" i="6"/>
  <c r="AE29" i="6" s="1"/>
  <c r="AD17" i="6"/>
  <c r="AE17" i="6" s="1"/>
  <c r="AD5" i="6"/>
  <c r="AE5" i="6" s="1"/>
  <c r="H3" i="6"/>
  <c r="L3" i="6" s="1"/>
  <c r="D315" i="5"/>
  <c r="D303" i="5"/>
  <c r="D291" i="5"/>
  <c r="D279" i="5"/>
  <c r="D267" i="5"/>
  <c r="D255" i="5"/>
  <c r="D243" i="5"/>
  <c r="D231" i="5"/>
  <c r="D219" i="5"/>
  <c r="D229" i="5"/>
  <c r="H102" i="5"/>
  <c r="H90" i="5"/>
  <c r="H78" i="5"/>
  <c r="H66" i="5"/>
  <c r="Y147" i="5"/>
  <c r="Y135" i="5"/>
  <c r="Y123" i="5"/>
  <c r="Y111" i="5"/>
  <c r="Y99" i="5"/>
  <c r="Y87" i="5"/>
  <c r="Y75" i="5"/>
  <c r="Y63" i="5"/>
  <c r="Y51" i="5"/>
  <c r="Z51" i="5" s="1"/>
  <c r="Y39" i="5"/>
  <c r="Y27" i="5"/>
  <c r="Y15" i="5"/>
  <c r="Y182" i="5"/>
  <c r="Y170" i="5"/>
  <c r="Y158" i="5"/>
  <c r="G3" i="6" a="1"/>
  <c r="G3" i="6" s="1"/>
  <c r="Z181" i="5"/>
  <c r="Y145" i="5"/>
  <c r="Y133" i="5"/>
  <c r="Y121" i="5"/>
  <c r="Y109" i="5"/>
  <c r="Y97" i="5"/>
  <c r="Y85" i="5"/>
  <c r="Y73" i="5"/>
  <c r="Y61" i="5"/>
  <c r="Y49" i="5"/>
  <c r="Y37" i="5"/>
  <c r="Y25" i="5"/>
  <c r="Y13" i="5"/>
  <c r="Z13" i="5" s="1"/>
  <c r="Y180" i="5"/>
  <c r="Y168" i="5"/>
  <c r="Y156" i="5"/>
  <c r="Y144" i="5"/>
  <c r="Y132" i="5"/>
  <c r="Y120" i="5"/>
  <c r="Y108" i="5"/>
  <c r="Y96" i="5"/>
  <c r="Y84" i="5"/>
  <c r="Y72" i="5"/>
  <c r="Y60" i="5"/>
  <c r="Y48" i="5"/>
  <c r="Y36" i="5"/>
  <c r="Y24" i="5"/>
  <c r="Y12" i="5"/>
  <c r="Y179" i="5"/>
  <c r="Y167" i="5"/>
  <c r="Y155" i="5"/>
  <c r="Y143" i="5"/>
  <c r="Y131" i="5"/>
  <c r="Y119" i="5"/>
  <c r="Y107" i="5"/>
  <c r="Y95" i="5"/>
  <c r="Y83" i="5"/>
  <c r="Z83" i="5" s="1"/>
  <c r="Y71" i="5"/>
  <c r="Y59" i="5"/>
  <c r="Y47" i="5"/>
  <c r="Y35" i="5"/>
  <c r="Y23" i="5"/>
  <c r="Y11" i="5"/>
  <c r="Y178" i="5"/>
  <c r="Y166" i="5"/>
  <c r="Y154" i="5"/>
  <c r="Y142" i="5"/>
  <c r="Y130" i="5"/>
  <c r="Y118" i="5"/>
  <c r="Y106" i="5"/>
  <c r="Y94" i="5"/>
  <c r="Y82" i="5"/>
  <c r="Y70" i="5"/>
  <c r="Y58" i="5"/>
  <c r="Y46" i="5"/>
  <c r="Y34" i="5"/>
  <c r="Y22" i="5"/>
  <c r="Y10" i="5"/>
  <c r="Y177" i="5"/>
  <c r="Y165" i="5"/>
  <c r="Y153" i="5"/>
  <c r="Y141" i="5"/>
  <c r="Y129" i="5"/>
  <c r="Y117" i="5"/>
  <c r="Y105" i="5"/>
  <c r="Y93" i="5"/>
  <c r="Y81" i="5"/>
  <c r="Y69" i="5"/>
  <c r="Y57" i="5"/>
  <c r="Y45" i="5"/>
  <c r="Y33" i="5"/>
  <c r="Z33" i="5" s="1"/>
  <c r="Y21" i="5"/>
  <c r="Y9" i="5"/>
  <c r="Y176" i="5"/>
  <c r="Y164" i="5"/>
  <c r="Y152" i="5"/>
  <c r="Z92" i="5"/>
  <c r="Z146" i="5"/>
  <c r="Z55" i="5"/>
  <c r="Y174" i="5"/>
  <c r="Y162" i="5"/>
  <c r="Y150" i="5"/>
  <c r="Z90" i="5"/>
  <c r="Y137" i="5"/>
  <c r="Y125" i="5"/>
  <c r="Z125" i="5" s="1"/>
  <c r="Y113" i="5"/>
  <c r="Y101" i="5"/>
  <c r="Y89" i="5"/>
  <c r="Y77" i="5"/>
  <c r="Y65" i="5"/>
  <c r="Y53" i="5"/>
  <c r="Y41" i="5"/>
  <c r="Y29" i="5"/>
  <c r="Y17" i="5"/>
  <c r="Y5" i="5"/>
  <c r="Y172" i="5"/>
  <c r="Y160" i="5"/>
  <c r="Z160" i="5" s="1"/>
  <c r="Y148" i="5"/>
  <c r="A3" i="6" a="1"/>
  <c r="A3" i="6" s="1"/>
  <c r="D88" i="5"/>
  <c r="D90" i="5"/>
  <c r="L176" i="5"/>
  <c r="L164" i="5"/>
  <c r="L152" i="5"/>
  <c r="L140" i="5"/>
  <c r="L128" i="5"/>
  <c r="P258" i="5"/>
  <c r="P246" i="5"/>
  <c r="Y136" i="5"/>
  <c r="Y124" i="5"/>
  <c r="Y112" i="5"/>
  <c r="Y100" i="5"/>
  <c r="Y88" i="5"/>
  <c r="Y76" i="5"/>
  <c r="Y64" i="5"/>
  <c r="Y52" i="5"/>
  <c r="Y40" i="5"/>
  <c r="Y28" i="5"/>
  <c r="Y16" i="5"/>
  <c r="Z16" i="5" s="1"/>
  <c r="Y183" i="5"/>
  <c r="Y171" i="5"/>
  <c r="Y159" i="5"/>
  <c r="D159" i="5"/>
  <c r="D39" i="5"/>
  <c r="D192" i="5"/>
  <c r="H27" i="5"/>
  <c r="D227" i="5"/>
  <c r="D171" i="5"/>
  <c r="D27" i="5"/>
  <c r="H99" i="5"/>
  <c r="D322" i="5"/>
  <c r="D310" i="5"/>
  <c r="D298" i="5"/>
  <c r="D286" i="5"/>
  <c r="D274" i="5"/>
  <c r="D262" i="5"/>
  <c r="D250" i="5"/>
  <c r="D238" i="5"/>
  <c r="D226" i="5"/>
  <c r="D214" i="5"/>
  <c r="D202" i="5"/>
  <c r="D190" i="5"/>
  <c r="D142" i="5"/>
  <c r="Z142" i="5" s="1"/>
  <c r="D58" i="5"/>
  <c r="D34" i="5"/>
  <c r="D179" i="5"/>
  <c r="D183" i="5"/>
  <c r="D75" i="5"/>
  <c r="D15" i="5"/>
  <c r="L8" i="5"/>
  <c r="H111" i="5"/>
  <c r="D189" i="5"/>
  <c r="D177" i="5"/>
  <c r="D176" i="5"/>
  <c r="D111" i="5"/>
  <c r="H18" i="5"/>
  <c r="L56" i="5"/>
  <c r="D203" i="5"/>
  <c r="L20" i="5"/>
  <c r="H39" i="5"/>
  <c r="L127" i="5"/>
  <c r="D207" i="5"/>
  <c r="D99" i="5"/>
  <c r="D63" i="5"/>
  <c r="H54" i="5"/>
  <c r="H6" i="5"/>
  <c r="L68" i="5"/>
  <c r="D138" i="5"/>
  <c r="Z138" i="5" s="1"/>
  <c r="D161" i="5"/>
  <c r="Z161" i="5" s="1"/>
  <c r="D113" i="5"/>
  <c r="D29" i="5"/>
  <c r="L124" i="5"/>
  <c r="D195" i="5"/>
  <c r="L44" i="5"/>
  <c r="D316" i="5"/>
  <c r="D304" i="5"/>
  <c r="D292" i="5"/>
  <c r="D280" i="5"/>
  <c r="D268" i="5"/>
  <c r="D256" i="5"/>
  <c r="D244" i="5"/>
  <c r="D232" i="5"/>
  <c r="D220" i="5"/>
  <c r="D208" i="5"/>
  <c r="D196" i="5"/>
  <c r="D184" i="5"/>
  <c r="D172" i="5"/>
  <c r="D160" i="5"/>
  <c r="D148" i="5"/>
  <c r="D136" i="5"/>
  <c r="D124" i="5"/>
  <c r="D112" i="5"/>
  <c r="D100" i="5"/>
  <c r="D76" i="5"/>
  <c r="D64" i="5"/>
  <c r="D52" i="5"/>
  <c r="D40" i="5"/>
  <c r="D28" i="5"/>
  <c r="D16" i="5"/>
  <c r="D4" i="5"/>
  <c r="Z4" i="5" s="1"/>
  <c r="D164" i="5"/>
  <c r="H103" i="5"/>
  <c r="H91" i="5"/>
  <c r="H79" i="5"/>
  <c r="H67" i="5"/>
  <c r="H55" i="5"/>
  <c r="H43" i="5"/>
  <c r="H31" i="5"/>
  <c r="H19" i="5"/>
  <c r="H7" i="5"/>
  <c r="L177" i="5"/>
  <c r="L165" i="5"/>
  <c r="D135" i="5"/>
  <c r="L116" i="5"/>
  <c r="L80" i="5"/>
  <c r="L32" i="5"/>
  <c r="P210" i="5"/>
  <c r="P174" i="5"/>
  <c r="P138" i="5"/>
  <c r="P114" i="5"/>
  <c r="P78" i="5"/>
  <c r="P42" i="5"/>
  <c r="P30" i="5"/>
  <c r="P18" i="5"/>
  <c r="D323" i="5"/>
  <c r="D147" i="5"/>
  <c r="D87" i="5"/>
  <c r="D51" i="5"/>
  <c r="H42" i="5"/>
  <c r="H30" i="5"/>
  <c r="L104" i="5"/>
  <c r="P222" i="5"/>
  <c r="P186" i="5"/>
  <c r="P150" i="5"/>
  <c r="P102" i="5"/>
  <c r="P66" i="5"/>
  <c r="P6" i="5"/>
  <c r="D314" i="5"/>
  <c r="D290" i="5"/>
  <c r="D266" i="5"/>
  <c r="D242" i="5"/>
  <c r="D218" i="5"/>
  <c r="D194" i="5"/>
  <c r="D158" i="5"/>
  <c r="D134" i="5"/>
  <c r="Z134" i="5" s="1"/>
  <c r="D110" i="5"/>
  <c r="Z110" i="5" s="1"/>
  <c r="D86" i="5"/>
  <c r="Z86" i="5" s="1"/>
  <c r="D62" i="5"/>
  <c r="Z62" i="5" s="1"/>
  <c r="D38" i="5"/>
  <c r="Z38" i="5" s="1"/>
  <c r="D14" i="5"/>
  <c r="Z14" i="5" s="1"/>
  <c r="H101" i="5"/>
  <c r="H89" i="5"/>
  <c r="H17" i="5"/>
  <c r="L175" i="5"/>
  <c r="L163" i="5"/>
  <c r="L115" i="5"/>
  <c r="L79" i="5"/>
  <c r="L67" i="5"/>
  <c r="L31" i="5"/>
  <c r="L19" i="5"/>
  <c r="P61" i="5"/>
  <c r="D277" i="5"/>
  <c r="P289" i="5"/>
  <c r="D123" i="5"/>
  <c r="L92" i="5"/>
  <c r="P234" i="5"/>
  <c r="P198" i="5"/>
  <c r="P162" i="5"/>
  <c r="P126" i="5"/>
  <c r="P90" i="5"/>
  <c r="P54" i="5"/>
  <c r="D302" i="5"/>
  <c r="D278" i="5"/>
  <c r="D254" i="5"/>
  <c r="D230" i="5"/>
  <c r="D206" i="5"/>
  <c r="D182" i="5"/>
  <c r="D170" i="5"/>
  <c r="D146" i="5"/>
  <c r="D122" i="5"/>
  <c r="Z122" i="5" s="1"/>
  <c r="D98" i="5"/>
  <c r="Z98" i="5" s="1"/>
  <c r="D74" i="5"/>
  <c r="Z74" i="5" s="1"/>
  <c r="D50" i="5"/>
  <c r="Z50" i="5" s="1"/>
  <c r="AA50" i="5" s="1"/>
  <c r="D26" i="5"/>
  <c r="Z26" i="5" s="1"/>
  <c r="H113" i="5"/>
  <c r="D313" i="5"/>
  <c r="D301" i="5"/>
  <c r="D289" i="5"/>
  <c r="D265" i="5"/>
  <c r="D253" i="5"/>
  <c r="D241" i="5"/>
  <c r="D217" i="5"/>
  <c r="D205" i="5"/>
  <c r="D275" i="5"/>
  <c r="P277" i="5"/>
  <c r="H41" i="5"/>
  <c r="P257" i="5"/>
  <c r="P185" i="5"/>
  <c r="P125" i="5"/>
  <c r="P65" i="5"/>
  <c r="P29" i="5"/>
  <c r="P17" i="5"/>
  <c r="P266" i="5"/>
  <c r="H29" i="5"/>
  <c r="P221" i="5"/>
  <c r="P137" i="5"/>
  <c r="P77" i="5"/>
  <c r="D181" i="5"/>
  <c r="H40" i="5"/>
  <c r="L162" i="5"/>
  <c r="L102" i="5"/>
  <c r="L90" i="5"/>
  <c r="L54" i="5"/>
  <c r="L30" i="5"/>
  <c r="L6" i="5"/>
  <c r="P217" i="5"/>
  <c r="D276" i="5"/>
  <c r="D216" i="5"/>
  <c r="D168" i="5"/>
  <c r="D120" i="5"/>
  <c r="D72" i="5"/>
  <c r="D36" i="5"/>
  <c r="H51" i="5"/>
  <c r="L173" i="5"/>
  <c r="L113" i="5"/>
  <c r="L65" i="5"/>
  <c r="L5" i="5"/>
  <c r="P207" i="5"/>
  <c r="P159" i="5"/>
  <c r="P147" i="5"/>
  <c r="P135" i="5"/>
  <c r="P111" i="5"/>
  <c r="P63" i="5"/>
  <c r="P51" i="5"/>
  <c r="P39" i="5"/>
  <c r="P27" i="5"/>
  <c r="P15" i="5"/>
  <c r="D311" i="5"/>
  <c r="D263" i="5"/>
  <c r="D215" i="5"/>
  <c r="L76" i="5"/>
  <c r="P205" i="5"/>
  <c r="D191" i="5"/>
  <c r="L3" i="5"/>
  <c r="L160" i="5"/>
  <c r="L148" i="5"/>
  <c r="L136" i="5"/>
  <c r="L112" i="5"/>
  <c r="L100" i="5"/>
  <c r="L88" i="5"/>
  <c r="L64" i="5"/>
  <c r="L52" i="5"/>
  <c r="L40" i="5"/>
  <c r="L16" i="5"/>
  <c r="L4" i="5"/>
  <c r="P254" i="5"/>
  <c r="P242" i="5"/>
  <c r="P230" i="5"/>
  <c r="P218" i="5"/>
  <c r="P206" i="5"/>
  <c r="P182" i="5"/>
  <c r="P170" i="5"/>
  <c r="P158" i="5"/>
  <c r="P146" i="5"/>
  <c r="P134" i="5"/>
  <c r="P110" i="5"/>
  <c r="P98" i="5"/>
  <c r="P86" i="5"/>
  <c r="P74" i="5"/>
  <c r="P62" i="5"/>
  <c r="P38" i="5"/>
  <c r="P26" i="5"/>
  <c r="P14" i="5"/>
  <c r="D54" i="5"/>
  <c r="Z54" i="5" s="1"/>
  <c r="AA54" i="5" s="1"/>
  <c r="P194" i="5"/>
  <c r="H77" i="5"/>
  <c r="L151" i="5"/>
  <c r="L55" i="5"/>
  <c r="P233" i="5"/>
  <c r="P161" i="5"/>
  <c r="P89" i="5"/>
  <c r="L150" i="5"/>
  <c r="L125" i="5"/>
  <c r="L53" i="5"/>
  <c r="P255" i="5"/>
  <c r="P195" i="5"/>
  <c r="P123" i="5"/>
  <c r="D178" i="5"/>
  <c r="D154" i="5"/>
  <c r="Z154" i="5" s="1"/>
  <c r="D130" i="5"/>
  <c r="D106" i="5"/>
  <c r="Z106" i="5" s="1"/>
  <c r="D70" i="5"/>
  <c r="Z70" i="5" s="1"/>
  <c r="D22" i="5"/>
  <c r="Z22" i="5" s="1"/>
  <c r="H109" i="5"/>
  <c r="H85" i="5"/>
  <c r="H73" i="5"/>
  <c r="H61" i="5"/>
  <c r="H49" i="5"/>
  <c r="H25" i="5"/>
  <c r="H13" i="5"/>
  <c r="L183" i="5"/>
  <c r="L171" i="5"/>
  <c r="L159" i="5"/>
  <c r="L147" i="5"/>
  <c r="L135" i="5"/>
  <c r="L123" i="5"/>
  <c r="L111" i="5"/>
  <c r="L99" i="5"/>
  <c r="L87" i="5"/>
  <c r="L75" i="5"/>
  <c r="L63" i="5"/>
  <c r="L51" i="5"/>
  <c r="L39" i="5"/>
  <c r="L27" i="5"/>
  <c r="L15" i="5"/>
  <c r="P253" i="5"/>
  <c r="P241" i="5"/>
  <c r="P229" i="5"/>
  <c r="P193" i="5"/>
  <c r="P181" i="5"/>
  <c r="P169" i="5"/>
  <c r="P157" i="5"/>
  <c r="P121" i="5"/>
  <c r="P109" i="5"/>
  <c r="P97" i="5"/>
  <c r="P85" i="5"/>
  <c r="P49" i="5"/>
  <c r="P37" i="5"/>
  <c r="P25" i="5"/>
  <c r="P13" i="5"/>
  <c r="P145" i="5"/>
  <c r="H112" i="5"/>
  <c r="H64" i="5"/>
  <c r="L114" i="5"/>
  <c r="D300" i="5"/>
  <c r="D252" i="5"/>
  <c r="D204" i="5"/>
  <c r="D156" i="5"/>
  <c r="D108" i="5"/>
  <c r="D60" i="5"/>
  <c r="D12" i="5"/>
  <c r="H75" i="5"/>
  <c r="L149" i="5"/>
  <c r="L89" i="5"/>
  <c r="L41" i="5"/>
  <c r="P243" i="5"/>
  <c r="P171" i="5"/>
  <c r="P87" i="5"/>
  <c r="D166" i="5"/>
  <c r="D118" i="5"/>
  <c r="Z118" i="5" s="1"/>
  <c r="D94" i="5"/>
  <c r="Z94" i="5" s="1"/>
  <c r="D82" i="5"/>
  <c r="Z82" i="5" s="1"/>
  <c r="AA82" i="5" s="1"/>
  <c r="D46" i="5"/>
  <c r="Z46" i="5" s="1"/>
  <c r="D10" i="5"/>
  <c r="Z10" i="5" s="1"/>
  <c r="H97" i="5"/>
  <c r="H37" i="5"/>
  <c r="D321" i="5"/>
  <c r="D309" i="5"/>
  <c r="D297" i="5"/>
  <c r="D285" i="5"/>
  <c r="D273" i="5"/>
  <c r="D261" i="5"/>
  <c r="D249" i="5"/>
  <c r="D237" i="5"/>
  <c r="D225" i="5"/>
  <c r="D213" i="5"/>
  <c r="D201" i="5"/>
  <c r="D165" i="5"/>
  <c r="D153" i="5"/>
  <c r="Z153" i="5" s="1"/>
  <c r="AA153" i="5" s="1"/>
  <c r="D141" i="5"/>
  <c r="D129" i="5"/>
  <c r="D117" i="5"/>
  <c r="D105" i="5"/>
  <c r="D93" i="5"/>
  <c r="P314" i="5"/>
  <c r="D299" i="5"/>
  <c r="D251" i="5"/>
  <c r="L28" i="5"/>
  <c r="P133" i="5"/>
  <c r="D56" i="5"/>
  <c r="Z56" i="5" s="1"/>
  <c r="D44" i="5"/>
  <c r="Z44" i="5" s="1"/>
  <c r="D32" i="5"/>
  <c r="Z32" i="5" s="1"/>
  <c r="AA32" i="5" s="1"/>
  <c r="D20" i="5"/>
  <c r="Z20" i="5" s="1"/>
  <c r="D8" i="5"/>
  <c r="Z8" i="5" s="1"/>
  <c r="H88" i="5"/>
  <c r="P122" i="5"/>
  <c r="H53" i="5"/>
  <c r="L139" i="5"/>
  <c r="L43" i="5"/>
  <c r="P245" i="5"/>
  <c r="P173" i="5"/>
  <c r="P113" i="5"/>
  <c r="P41" i="5"/>
  <c r="H76" i="5"/>
  <c r="H28" i="5"/>
  <c r="L174" i="5"/>
  <c r="L126" i="5"/>
  <c r="L78" i="5"/>
  <c r="L42" i="5"/>
  <c r="L18" i="5"/>
  <c r="D3" i="5"/>
  <c r="Z3" i="5" s="1"/>
  <c r="D288" i="5"/>
  <c r="D240" i="5"/>
  <c r="D144" i="5"/>
  <c r="D96" i="5"/>
  <c r="D24" i="5"/>
  <c r="H87" i="5"/>
  <c r="L161" i="5"/>
  <c r="L101" i="5"/>
  <c r="L29" i="5"/>
  <c r="P219" i="5"/>
  <c r="P99" i="5"/>
  <c r="D308" i="5"/>
  <c r="D284" i="5"/>
  <c r="D260" i="5"/>
  <c r="D236" i="5"/>
  <c r="D212" i="5"/>
  <c r="D188" i="5"/>
  <c r="D140" i="5"/>
  <c r="Z140" i="5" s="1"/>
  <c r="D116" i="5"/>
  <c r="Z116" i="5" s="1"/>
  <c r="D92" i="5"/>
  <c r="D68" i="5"/>
  <c r="Z68" i="5" s="1"/>
  <c r="D307" i="5"/>
  <c r="D283" i="5"/>
  <c r="D271" i="5"/>
  <c r="D259" i="5"/>
  <c r="D247" i="5"/>
  <c r="D235" i="5"/>
  <c r="D223" i="5"/>
  <c r="D211" i="5"/>
  <c r="D199" i="5"/>
  <c r="D187" i="5"/>
  <c r="D175" i="5"/>
  <c r="Z175" i="5" s="1"/>
  <c r="D163" i="5"/>
  <c r="Z163" i="5" s="1"/>
  <c r="D151" i="5"/>
  <c r="Z151" i="5" s="1"/>
  <c r="D139" i="5"/>
  <c r="Z139" i="5" s="1"/>
  <c r="AA139" i="5" s="1"/>
  <c r="D127" i="5"/>
  <c r="Z127" i="5" s="1"/>
  <c r="D115" i="5"/>
  <c r="Z115" i="5" s="1"/>
  <c r="D103" i="5"/>
  <c r="Z103" i="5" s="1"/>
  <c r="D91" i="5"/>
  <c r="Z91" i="5" s="1"/>
  <c r="AA91" i="5" s="1"/>
  <c r="P73" i="5"/>
  <c r="H65" i="5"/>
  <c r="L91" i="5"/>
  <c r="L7" i="5"/>
  <c r="P209" i="5"/>
  <c r="P149" i="5"/>
  <c r="P101" i="5"/>
  <c r="P53" i="5"/>
  <c r="D193" i="5"/>
  <c r="H100" i="5"/>
  <c r="H52" i="5"/>
  <c r="H4" i="5"/>
  <c r="L138" i="5"/>
  <c r="L66" i="5"/>
  <c r="D312" i="5"/>
  <c r="D264" i="5"/>
  <c r="D228" i="5"/>
  <c r="D180" i="5"/>
  <c r="D132" i="5"/>
  <c r="D84" i="5"/>
  <c r="D48" i="5"/>
  <c r="H63" i="5"/>
  <c r="H15" i="5"/>
  <c r="L137" i="5"/>
  <c r="L77" i="5"/>
  <c r="L17" i="5"/>
  <c r="P231" i="5"/>
  <c r="P183" i="5"/>
  <c r="P75" i="5"/>
  <c r="D320" i="5"/>
  <c r="D296" i="5"/>
  <c r="D272" i="5"/>
  <c r="D248" i="5"/>
  <c r="D224" i="5"/>
  <c r="D200" i="5"/>
  <c r="D152" i="5"/>
  <c r="D128" i="5"/>
  <c r="Z128" i="5" s="1"/>
  <c r="D104" i="5"/>
  <c r="Z104" i="5" s="1"/>
  <c r="D80" i="5"/>
  <c r="Z80" i="5" s="1"/>
  <c r="D319" i="5"/>
  <c r="D295" i="5"/>
  <c r="D318" i="5"/>
  <c r="D306" i="5"/>
  <c r="D294" i="5"/>
  <c r="D282" i="5"/>
  <c r="D270" i="5"/>
  <c r="D258" i="5"/>
  <c r="D246" i="5"/>
  <c r="D234" i="5"/>
  <c r="D222" i="5"/>
  <c r="D210" i="5"/>
  <c r="D198" i="5"/>
  <c r="D186" i="5"/>
  <c r="D174" i="5"/>
  <c r="D162" i="5"/>
  <c r="D150" i="5"/>
  <c r="D126" i="5"/>
  <c r="Z126" i="5" s="1"/>
  <c r="AA126" i="5" s="1"/>
  <c r="D102" i="5"/>
  <c r="Z102" i="5" s="1"/>
  <c r="AA102" i="5" s="1"/>
  <c r="D78" i="5"/>
  <c r="Z78" i="5" s="1"/>
  <c r="D66" i="5"/>
  <c r="Z66" i="5" s="1"/>
  <c r="D42" i="5"/>
  <c r="Z42" i="5" s="1"/>
  <c r="AA42" i="5" s="1"/>
  <c r="D30" i="5"/>
  <c r="Z30" i="5" s="1"/>
  <c r="AA30" i="5" s="1"/>
  <c r="D18" i="5"/>
  <c r="Z18" i="5" s="1"/>
  <c r="D6" i="5"/>
  <c r="Z6" i="5" s="1"/>
  <c r="D287" i="5"/>
  <c r="D239" i="5"/>
  <c r="D114" i="5"/>
  <c r="Z114" i="5" s="1"/>
  <c r="AA114" i="5" s="1"/>
  <c r="L172" i="5"/>
  <c r="H5" i="5"/>
  <c r="L103" i="5"/>
  <c r="P197" i="5"/>
  <c r="P5" i="5"/>
  <c r="D317" i="5"/>
  <c r="D305" i="5"/>
  <c r="D293" i="5"/>
  <c r="D281" i="5"/>
  <c r="D269" i="5"/>
  <c r="D257" i="5"/>
  <c r="D245" i="5"/>
  <c r="D233" i="5"/>
  <c r="D221" i="5"/>
  <c r="D209" i="5"/>
  <c r="D197" i="5"/>
  <c r="D185" i="5"/>
  <c r="D173" i="5"/>
  <c r="Z173" i="5" s="1"/>
  <c r="D149" i="5"/>
  <c r="Z149" i="5" s="1"/>
  <c r="D137" i="5"/>
  <c r="D125" i="5"/>
  <c r="D101" i="5"/>
  <c r="D89" i="5"/>
  <c r="D77" i="5"/>
  <c r="D65" i="5"/>
  <c r="D53" i="5"/>
  <c r="D41" i="5"/>
  <c r="D17" i="5"/>
  <c r="D5" i="5"/>
  <c r="H104" i="5"/>
  <c r="H92" i="5"/>
  <c r="H80" i="5"/>
  <c r="H68" i="5"/>
  <c r="H56" i="5"/>
  <c r="H44" i="5"/>
  <c r="H32" i="5"/>
  <c r="H20" i="5"/>
  <c r="H8" i="5"/>
  <c r="L178" i="5"/>
  <c r="L166" i="5"/>
  <c r="L154" i="5"/>
  <c r="L142" i="5"/>
  <c r="L130" i="5"/>
  <c r="L118" i="5"/>
  <c r="L106" i="5"/>
  <c r="L94" i="5"/>
  <c r="L82" i="5"/>
  <c r="L70" i="5"/>
  <c r="L58" i="5"/>
  <c r="L46" i="5"/>
  <c r="L34" i="5"/>
  <c r="L22" i="5"/>
  <c r="L10" i="5"/>
  <c r="P260" i="5"/>
  <c r="P248" i="5"/>
  <c r="P236" i="5"/>
  <c r="P224" i="5"/>
  <c r="P212" i="5"/>
  <c r="P200" i="5"/>
  <c r="P188" i="5"/>
  <c r="P176" i="5"/>
  <c r="P164" i="5"/>
  <c r="P152" i="5"/>
  <c r="P140" i="5"/>
  <c r="P128" i="5"/>
  <c r="P116" i="5"/>
  <c r="P104" i="5"/>
  <c r="P92" i="5"/>
  <c r="P80" i="5"/>
  <c r="P68" i="5"/>
  <c r="P56" i="5"/>
  <c r="P44" i="5"/>
  <c r="P32" i="5"/>
  <c r="P20" i="5"/>
  <c r="P8" i="5"/>
  <c r="H16" i="5"/>
  <c r="P50" i="5"/>
  <c r="H105" i="5"/>
  <c r="H93" i="5"/>
  <c r="H81" i="5"/>
  <c r="H69" i="5"/>
  <c r="H57" i="5"/>
  <c r="H45" i="5"/>
  <c r="H33" i="5"/>
  <c r="H21" i="5"/>
  <c r="H9" i="5"/>
  <c r="L179" i="5"/>
  <c r="L167" i="5"/>
  <c r="L155" i="5"/>
  <c r="L143" i="5"/>
  <c r="L131" i="5"/>
  <c r="L119" i="5"/>
  <c r="L107" i="5"/>
  <c r="L95" i="5"/>
  <c r="L83" i="5"/>
  <c r="L71" i="5"/>
  <c r="L59" i="5"/>
  <c r="L47" i="5"/>
  <c r="L35" i="5"/>
  <c r="L23" i="5"/>
  <c r="L11" i="5"/>
  <c r="P261" i="5"/>
  <c r="P249" i="5"/>
  <c r="P237" i="5"/>
  <c r="P225" i="5"/>
  <c r="P213" i="5"/>
  <c r="P201" i="5"/>
  <c r="P189" i="5"/>
  <c r="P177" i="5"/>
  <c r="P165" i="5"/>
  <c r="P153" i="5"/>
  <c r="P141" i="5"/>
  <c r="P129" i="5"/>
  <c r="P117" i="5"/>
  <c r="P105" i="5"/>
  <c r="P93" i="5"/>
  <c r="P81" i="5"/>
  <c r="P69" i="5"/>
  <c r="P57" i="5"/>
  <c r="P45" i="5"/>
  <c r="P33" i="5"/>
  <c r="P21" i="5"/>
  <c r="P9" i="5"/>
  <c r="P290" i="5"/>
  <c r="L153" i="5"/>
  <c r="L141" i="5"/>
  <c r="L129" i="5"/>
  <c r="L117" i="5"/>
  <c r="L105" i="5"/>
  <c r="L93" i="5"/>
  <c r="L81" i="5"/>
  <c r="L69" i="5"/>
  <c r="L57" i="5"/>
  <c r="L45" i="5"/>
  <c r="L33" i="5"/>
  <c r="L21" i="5"/>
  <c r="L9" i="5"/>
  <c r="P259" i="5"/>
  <c r="P247" i="5"/>
  <c r="P235" i="5"/>
  <c r="P223" i="5"/>
  <c r="P211" i="5"/>
  <c r="P199" i="5"/>
  <c r="P187" i="5"/>
  <c r="P175" i="5"/>
  <c r="P163" i="5"/>
  <c r="P151" i="5"/>
  <c r="P139" i="5"/>
  <c r="P127" i="5"/>
  <c r="P115" i="5"/>
  <c r="P103" i="5"/>
  <c r="P91" i="5"/>
  <c r="P79" i="5"/>
  <c r="P67" i="5"/>
  <c r="P55" i="5"/>
  <c r="P43" i="5"/>
  <c r="P31" i="5"/>
  <c r="P19" i="5"/>
  <c r="P7" i="5"/>
  <c r="P278" i="5"/>
  <c r="D169" i="5"/>
  <c r="Z169" i="5" s="1"/>
  <c r="D157" i="5"/>
  <c r="Z157" i="5" s="1"/>
  <c r="D145" i="5"/>
  <c r="D133" i="5"/>
  <c r="D121" i="5"/>
  <c r="D109" i="5"/>
  <c r="D97" i="5"/>
  <c r="D85" i="5"/>
  <c r="D73" i="5"/>
  <c r="D61" i="5"/>
  <c r="D49" i="5"/>
  <c r="D37" i="5"/>
  <c r="D25" i="5"/>
  <c r="D13" i="5"/>
  <c r="P256" i="5"/>
  <c r="P244" i="5"/>
  <c r="P232" i="5"/>
  <c r="P220" i="5"/>
  <c r="P208" i="5"/>
  <c r="P196" i="5"/>
  <c r="P184" i="5"/>
  <c r="P172" i="5"/>
  <c r="P160" i="5"/>
  <c r="P148" i="5"/>
  <c r="P136" i="5"/>
  <c r="P124" i="5"/>
  <c r="P112" i="5"/>
  <c r="P100" i="5"/>
  <c r="P88" i="5"/>
  <c r="P76" i="5"/>
  <c r="P64" i="5"/>
  <c r="P52" i="5"/>
  <c r="P40" i="5"/>
  <c r="P28" i="5"/>
  <c r="P16" i="5"/>
  <c r="P4" i="5"/>
  <c r="P265" i="5"/>
  <c r="D167" i="5"/>
  <c r="D155" i="5"/>
  <c r="D143" i="5"/>
  <c r="D131" i="5"/>
  <c r="D119" i="5"/>
  <c r="D107" i="5"/>
  <c r="D95" i="5"/>
  <c r="D83" i="5"/>
  <c r="D71" i="5"/>
  <c r="D59" i="5"/>
  <c r="D47" i="5"/>
  <c r="D35" i="5"/>
  <c r="D23" i="5"/>
  <c r="D11" i="5"/>
  <c r="H110" i="5"/>
  <c r="H98" i="5"/>
  <c r="H86" i="5"/>
  <c r="H74" i="5"/>
  <c r="H62" i="5"/>
  <c r="H50" i="5"/>
  <c r="H38" i="5"/>
  <c r="H26" i="5"/>
  <c r="H14" i="5"/>
  <c r="D81" i="5"/>
  <c r="D69" i="5"/>
  <c r="D57" i="5"/>
  <c r="D45" i="5"/>
  <c r="D33" i="5"/>
  <c r="D21" i="5"/>
  <c r="D9" i="5"/>
  <c r="H108" i="5"/>
  <c r="H96" i="5"/>
  <c r="H84" i="5"/>
  <c r="H72" i="5"/>
  <c r="H60" i="5"/>
  <c r="H48" i="5"/>
  <c r="H36" i="5"/>
  <c r="H24" i="5"/>
  <c r="H12" i="5"/>
  <c r="L182" i="5"/>
  <c r="L170" i="5"/>
  <c r="L158" i="5"/>
  <c r="L146" i="5"/>
  <c r="L134" i="5"/>
  <c r="L122" i="5"/>
  <c r="L110" i="5"/>
  <c r="L98" i="5"/>
  <c r="L86" i="5"/>
  <c r="L74" i="5"/>
  <c r="L62" i="5"/>
  <c r="L50" i="5"/>
  <c r="L38" i="5"/>
  <c r="L26" i="5"/>
  <c r="L14" i="5"/>
  <c r="P268" i="5"/>
  <c r="P280" i="5"/>
  <c r="P292" i="5"/>
  <c r="P304" i="5"/>
  <c r="P316" i="5"/>
  <c r="P269" i="5"/>
  <c r="P281" i="5"/>
  <c r="P293" i="5"/>
  <c r="P305" i="5"/>
  <c r="P317" i="5"/>
  <c r="P270" i="5"/>
  <c r="P282" i="5"/>
  <c r="P294" i="5"/>
  <c r="P306" i="5"/>
  <c r="P318" i="5"/>
  <c r="P271" i="5"/>
  <c r="P283" i="5"/>
  <c r="P295" i="5"/>
  <c r="P307" i="5"/>
  <c r="P319" i="5"/>
  <c r="P272" i="5"/>
  <c r="P284" i="5"/>
  <c r="P296" i="5"/>
  <c r="P308" i="5"/>
  <c r="P320" i="5"/>
  <c r="P273" i="5"/>
  <c r="P285" i="5"/>
  <c r="P297" i="5"/>
  <c r="P309" i="5"/>
  <c r="P321" i="5"/>
  <c r="P274" i="5"/>
  <c r="P286" i="5"/>
  <c r="P298" i="5"/>
  <c r="P310" i="5"/>
  <c r="P322" i="5"/>
  <c r="P275" i="5"/>
  <c r="P287" i="5"/>
  <c r="P299" i="5"/>
  <c r="P311" i="5"/>
  <c r="P323" i="5"/>
  <c r="P264" i="5"/>
  <c r="P276" i="5"/>
  <c r="P288" i="5"/>
  <c r="P300" i="5"/>
  <c r="P312" i="5"/>
  <c r="P3" i="5"/>
  <c r="P267" i="5"/>
  <c r="P279" i="5"/>
  <c r="P291" i="5"/>
  <c r="P303" i="5"/>
  <c r="P315" i="5"/>
  <c r="P252" i="5"/>
  <c r="P240" i="5"/>
  <c r="P228" i="5"/>
  <c r="P216" i="5"/>
  <c r="P204" i="5"/>
  <c r="P192" i="5"/>
  <c r="P180" i="5"/>
  <c r="P168" i="5"/>
  <c r="P156" i="5"/>
  <c r="P144" i="5"/>
  <c r="P132" i="5"/>
  <c r="P120" i="5"/>
  <c r="P108" i="5"/>
  <c r="P96" i="5"/>
  <c r="P84" i="5"/>
  <c r="P72" i="5"/>
  <c r="P60" i="5"/>
  <c r="P48" i="5"/>
  <c r="P36" i="5"/>
  <c r="P24" i="5"/>
  <c r="P12" i="5"/>
  <c r="P313" i="5"/>
  <c r="H107" i="5"/>
  <c r="H95" i="5"/>
  <c r="H83" i="5"/>
  <c r="H71" i="5"/>
  <c r="H59" i="5"/>
  <c r="H47" i="5"/>
  <c r="H35" i="5"/>
  <c r="H23" i="5"/>
  <c r="H11" i="5"/>
  <c r="L181" i="5"/>
  <c r="L169" i="5"/>
  <c r="L157" i="5"/>
  <c r="L145" i="5"/>
  <c r="L133" i="5"/>
  <c r="L121" i="5"/>
  <c r="L109" i="5"/>
  <c r="L97" i="5"/>
  <c r="L85" i="5"/>
  <c r="L73" i="5"/>
  <c r="L61" i="5"/>
  <c r="L49" i="5"/>
  <c r="L37" i="5"/>
  <c r="L25" i="5"/>
  <c r="L13" i="5"/>
  <c r="P263" i="5"/>
  <c r="P251" i="5"/>
  <c r="P239" i="5"/>
  <c r="P227" i="5"/>
  <c r="P215" i="5"/>
  <c r="P203" i="5"/>
  <c r="P191" i="5"/>
  <c r="P179" i="5"/>
  <c r="P167" i="5"/>
  <c r="P155" i="5"/>
  <c r="P143" i="5"/>
  <c r="P131" i="5"/>
  <c r="P119" i="5"/>
  <c r="P107" i="5"/>
  <c r="P95" i="5"/>
  <c r="P83" i="5"/>
  <c r="P71" i="5"/>
  <c r="P59" i="5"/>
  <c r="P47" i="5"/>
  <c r="P35" i="5"/>
  <c r="P23" i="5"/>
  <c r="P11" i="5"/>
  <c r="P302" i="5"/>
  <c r="D79" i="5"/>
  <c r="Z79" i="5" s="1"/>
  <c r="AA79" i="5" s="1"/>
  <c r="D67" i="5"/>
  <c r="Z67" i="5" s="1"/>
  <c r="AA67" i="5" s="1"/>
  <c r="D55" i="5"/>
  <c r="D43" i="5"/>
  <c r="Z43" i="5" s="1"/>
  <c r="D31" i="5"/>
  <c r="Z31" i="5" s="1"/>
  <c r="D19" i="5"/>
  <c r="Z19" i="5" s="1"/>
  <c r="AA19" i="5" s="1"/>
  <c r="D7" i="5"/>
  <c r="Z7" i="5" s="1"/>
  <c r="AA7" i="5" s="1"/>
  <c r="H106" i="5"/>
  <c r="H94" i="5"/>
  <c r="H82" i="5"/>
  <c r="H70" i="5"/>
  <c r="H58" i="5"/>
  <c r="H46" i="5"/>
  <c r="H34" i="5"/>
  <c r="H22" i="5"/>
  <c r="H10" i="5"/>
  <c r="L180" i="5"/>
  <c r="L168" i="5"/>
  <c r="L156" i="5"/>
  <c r="L144" i="5"/>
  <c r="L132" i="5"/>
  <c r="L120" i="5"/>
  <c r="L108" i="5"/>
  <c r="L96" i="5"/>
  <c r="L84" i="5"/>
  <c r="L72" i="5"/>
  <c r="L60" i="5"/>
  <c r="L48" i="5"/>
  <c r="L36" i="5"/>
  <c r="L24" i="5"/>
  <c r="L12" i="5"/>
  <c r="P262" i="5"/>
  <c r="P250" i="5"/>
  <c r="P238" i="5"/>
  <c r="P226" i="5"/>
  <c r="P214" i="5"/>
  <c r="P202" i="5"/>
  <c r="P190" i="5"/>
  <c r="P178" i="5"/>
  <c r="P166" i="5"/>
  <c r="P154" i="5"/>
  <c r="P142" i="5"/>
  <c r="P130" i="5"/>
  <c r="P118" i="5"/>
  <c r="P106" i="5"/>
  <c r="P94" i="5"/>
  <c r="P82" i="5"/>
  <c r="P70" i="5"/>
  <c r="P58" i="5"/>
  <c r="P46" i="5"/>
  <c r="P34" i="5"/>
  <c r="P22" i="5"/>
  <c r="P10" i="5"/>
  <c r="P301" i="5"/>
  <c r="G30" i="5"/>
  <c r="C50" i="5"/>
  <c r="C316" i="5"/>
  <c r="C304" i="5"/>
  <c r="C292" i="5"/>
  <c r="C280" i="5"/>
  <c r="C268" i="5"/>
  <c r="C256" i="5"/>
  <c r="C244" i="5"/>
  <c r="C190" i="5"/>
  <c r="G103" i="5"/>
  <c r="G91" i="5"/>
  <c r="K177" i="5"/>
  <c r="K165" i="5"/>
  <c r="K153" i="5"/>
  <c r="K141" i="5"/>
  <c r="K129" i="5"/>
  <c r="O259" i="5"/>
  <c r="S317" i="5"/>
  <c r="S305" i="5"/>
  <c r="S293" i="5"/>
  <c r="S281" i="5"/>
  <c r="S269" i="5"/>
  <c r="S209" i="5"/>
  <c r="S74" i="5"/>
  <c r="W315" i="5"/>
  <c r="W303" i="5"/>
  <c r="W291" i="5"/>
  <c r="W279" i="5"/>
  <c r="W267" i="5"/>
  <c r="C86" i="5"/>
  <c r="C216" i="5"/>
  <c r="C220" i="5"/>
  <c r="C148" i="5"/>
  <c r="G67" i="5"/>
  <c r="G43" i="5"/>
  <c r="G19" i="5"/>
  <c r="K117" i="5"/>
  <c r="K45" i="5"/>
  <c r="O223" i="5"/>
  <c r="O151" i="5"/>
  <c r="O91" i="5"/>
  <c r="S257" i="5"/>
  <c r="S185" i="5"/>
  <c r="C303" i="5"/>
  <c r="C255" i="5"/>
  <c r="C195" i="5"/>
  <c r="C147" i="5"/>
  <c r="C99" i="5"/>
  <c r="C39" i="5"/>
  <c r="G102" i="5"/>
  <c r="G54" i="5"/>
  <c r="K164" i="5"/>
  <c r="K116" i="5"/>
  <c r="K80" i="5"/>
  <c r="K32" i="5"/>
  <c r="O90" i="5"/>
  <c r="C298" i="5"/>
  <c r="C314" i="5"/>
  <c r="C302" i="5"/>
  <c r="C290" i="5"/>
  <c r="C278" i="5"/>
  <c r="C266" i="5"/>
  <c r="C254" i="5"/>
  <c r="C242" i="5"/>
  <c r="C230" i="5"/>
  <c r="C218" i="5"/>
  <c r="C206" i="5"/>
  <c r="C194" i="5"/>
  <c r="C182" i="5"/>
  <c r="C170" i="5"/>
  <c r="C158" i="5"/>
  <c r="C146" i="5"/>
  <c r="C134" i="5"/>
  <c r="C122" i="5"/>
  <c r="C110" i="5"/>
  <c r="C98" i="5"/>
  <c r="C74" i="5"/>
  <c r="C62" i="5"/>
  <c r="C38" i="5"/>
  <c r="C26" i="5"/>
  <c r="C14" i="5"/>
  <c r="G113" i="5"/>
  <c r="G101" i="5"/>
  <c r="G89" i="5"/>
  <c r="G65" i="5"/>
  <c r="G29" i="5"/>
  <c r="G17" i="5"/>
  <c r="K19" i="5"/>
  <c r="C49" i="5"/>
  <c r="K150" i="5"/>
  <c r="C208" i="5"/>
  <c r="C136" i="5"/>
  <c r="C64" i="5"/>
  <c r="C28" i="5"/>
  <c r="C4" i="5"/>
  <c r="C215" i="5"/>
  <c r="K81" i="5"/>
  <c r="O235" i="5"/>
  <c r="O187" i="5"/>
  <c r="O103" i="5"/>
  <c r="S233" i="5"/>
  <c r="S161" i="5"/>
  <c r="C267" i="5"/>
  <c r="C219" i="5"/>
  <c r="C171" i="5"/>
  <c r="C123" i="5"/>
  <c r="C75" i="5"/>
  <c r="C15" i="5"/>
  <c r="G66" i="5"/>
  <c r="K176" i="5"/>
  <c r="K68" i="5"/>
  <c r="C196" i="5"/>
  <c r="C124" i="5"/>
  <c r="G79" i="5"/>
  <c r="G55" i="5"/>
  <c r="G31" i="5"/>
  <c r="G7" i="5"/>
  <c r="K105" i="5"/>
  <c r="K57" i="5"/>
  <c r="K9" i="5"/>
  <c r="O211" i="5"/>
  <c r="O127" i="5"/>
  <c r="O67" i="5"/>
  <c r="S245" i="5"/>
  <c r="S197" i="5"/>
  <c r="S137" i="5"/>
  <c r="S125" i="5"/>
  <c r="S101" i="5"/>
  <c r="S77" i="5"/>
  <c r="S29" i="5"/>
  <c r="G42" i="5"/>
  <c r="G6" i="5"/>
  <c r="K140" i="5"/>
  <c r="K104" i="5"/>
  <c r="K44" i="5"/>
  <c r="C189" i="5"/>
  <c r="C288" i="5"/>
  <c r="C252" i="5"/>
  <c r="C36" i="5"/>
  <c r="C251" i="5"/>
  <c r="C179" i="5"/>
  <c r="C35" i="5"/>
  <c r="G110" i="5"/>
  <c r="G50" i="5"/>
  <c r="C262" i="5"/>
  <c r="C226" i="5"/>
  <c r="C106" i="5"/>
  <c r="G109" i="5"/>
  <c r="G49" i="5"/>
  <c r="C261" i="5"/>
  <c r="C225" i="5"/>
  <c r="C105" i="5"/>
  <c r="K170" i="5"/>
  <c r="C112" i="5"/>
  <c r="K33" i="5"/>
  <c r="O163" i="5"/>
  <c r="O79" i="5"/>
  <c r="O55" i="5"/>
  <c r="O43" i="5"/>
  <c r="O31" i="5"/>
  <c r="O19" i="5"/>
  <c r="O7" i="5"/>
  <c r="C315" i="5"/>
  <c r="C207" i="5"/>
  <c r="C63" i="5"/>
  <c r="K56" i="5"/>
  <c r="K101" i="5"/>
  <c r="O252" i="5"/>
  <c r="C172" i="5"/>
  <c r="C40" i="5"/>
  <c r="K69" i="5"/>
  <c r="O199" i="5"/>
  <c r="C279" i="5"/>
  <c r="C231" i="5"/>
  <c r="C183" i="5"/>
  <c r="C135" i="5"/>
  <c r="C87" i="5"/>
  <c r="C27" i="5"/>
  <c r="G78" i="5"/>
  <c r="G18" i="5"/>
  <c r="K152" i="5"/>
  <c r="K92" i="5"/>
  <c r="K20" i="5"/>
  <c r="C180" i="5"/>
  <c r="K149" i="5"/>
  <c r="C91" i="5"/>
  <c r="C287" i="5"/>
  <c r="C319" i="5"/>
  <c r="C307" i="5"/>
  <c r="C295" i="5"/>
  <c r="C283" i="5"/>
  <c r="C271" i="5"/>
  <c r="C259" i="5"/>
  <c r="C247" i="5"/>
  <c r="C235" i="5"/>
  <c r="C223" i="5"/>
  <c r="C211" i="5"/>
  <c r="C199" i="5"/>
  <c r="C187" i="5"/>
  <c r="C175" i="5"/>
  <c r="C163" i="5"/>
  <c r="C151" i="5"/>
  <c r="C139" i="5"/>
  <c r="C127" i="5"/>
  <c r="C115" i="5"/>
  <c r="C103" i="5"/>
  <c r="C79" i="5"/>
  <c r="C67" i="5"/>
  <c r="C55" i="5"/>
  <c r="C43" i="5"/>
  <c r="C31" i="5"/>
  <c r="C19" i="5"/>
  <c r="C7" i="5"/>
  <c r="G106" i="5"/>
  <c r="G94" i="5"/>
  <c r="G82" i="5"/>
  <c r="G70" i="5"/>
  <c r="G58" i="5"/>
  <c r="G46" i="5"/>
  <c r="G34" i="5"/>
  <c r="G22" i="5"/>
  <c r="G10" i="5"/>
  <c r="K180" i="5"/>
  <c r="K168" i="5"/>
  <c r="K156" i="5"/>
  <c r="K144" i="5"/>
  <c r="K132" i="5"/>
  <c r="O169" i="5"/>
  <c r="C232" i="5"/>
  <c r="C160" i="5"/>
  <c r="C88" i="5"/>
  <c r="C52" i="5"/>
  <c r="C16" i="5"/>
  <c r="K93" i="5"/>
  <c r="O247" i="5"/>
  <c r="O175" i="5"/>
  <c r="O115" i="5"/>
  <c r="S221" i="5"/>
  <c r="S173" i="5"/>
  <c r="C291" i="5"/>
  <c r="C243" i="5"/>
  <c r="C159" i="5"/>
  <c r="C111" i="5"/>
  <c r="C51" i="5"/>
  <c r="G90" i="5"/>
  <c r="K128" i="5"/>
  <c r="C318" i="5"/>
  <c r="C306" i="5"/>
  <c r="C294" i="5"/>
  <c r="C282" i="5"/>
  <c r="C270" i="5"/>
  <c r="C258" i="5"/>
  <c r="C246" i="5"/>
  <c r="C234" i="5"/>
  <c r="C222" i="5"/>
  <c r="C210" i="5"/>
  <c r="C150" i="5"/>
  <c r="C138" i="5"/>
  <c r="G93" i="5"/>
  <c r="K83" i="5"/>
  <c r="O45" i="5"/>
  <c r="S190" i="5"/>
  <c r="C184" i="5"/>
  <c r="C100" i="5"/>
  <c r="C317" i="5"/>
  <c r="C305" i="5"/>
  <c r="C293" i="5"/>
  <c r="C281" i="5"/>
  <c r="C269" i="5"/>
  <c r="C257" i="5"/>
  <c r="C245" i="5"/>
  <c r="C233" i="5"/>
  <c r="C221" i="5"/>
  <c r="C209" i="5"/>
  <c r="C197" i="5"/>
  <c r="C185" i="5"/>
  <c r="C173" i="5"/>
  <c r="C161" i="5"/>
  <c r="C149" i="5"/>
  <c r="C137" i="5"/>
  <c r="C125" i="5"/>
  <c r="C113" i="5"/>
  <c r="C101" i="5"/>
  <c r="C89" i="5"/>
  <c r="C77" i="5"/>
  <c r="C65" i="5"/>
  <c r="C53" i="5"/>
  <c r="C41" i="5"/>
  <c r="C29" i="5"/>
  <c r="C17" i="5"/>
  <c r="C5" i="5"/>
  <c r="G104" i="5"/>
  <c r="G92" i="5"/>
  <c r="G80" i="5"/>
  <c r="G68" i="5"/>
  <c r="G56" i="5"/>
  <c r="G44" i="5"/>
  <c r="G32" i="5"/>
  <c r="G20" i="5"/>
  <c r="G8" i="5"/>
  <c r="K178" i="5"/>
  <c r="K166" i="5"/>
  <c r="K154" i="5"/>
  <c r="K142" i="5"/>
  <c r="K130" i="5"/>
  <c r="K118" i="5"/>
  <c r="K106" i="5"/>
  <c r="K94" i="5"/>
  <c r="K82" i="5"/>
  <c r="K70" i="5"/>
  <c r="K58" i="5"/>
  <c r="K46" i="5"/>
  <c r="K34" i="5"/>
  <c r="K22" i="5"/>
  <c r="K10" i="5"/>
  <c r="O260" i="5"/>
  <c r="O248" i="5"/>
  <c r="O236" i="5"/>
  <c r="O224" i="5"/>
  <c r="O212" i="5"/>
  <c r="O200" i="5"/>
  <c r="O188" i="5"/>
  <c r="O176" i="5"/>
  <c r="O164" i="5"/>
  <c r="O152" i="5"/>
  <c r="O140" i="5"/>
  <c r="O128" i="5"/>
  <c r="O116" i="5"/>
  <c r="O104" i="5"/>
  <c r="O92" i="5"/>
  <c r="O80" i="5"/>
  <c r="O68" i="5"/>
  <c r="O56" i="5"/>
  <c r="O44" i="5"/>
  <c r="O32" i="5"/>
  <c r="O20" i="5"/>
  <c r="O8" i="5"/>
  <c r="S318" i="5"/>
  <c r="S306" i="5"/>
  <c r="S294" i="5"/>
  <c r="S282" i="5"/>
  <c r="S270" i="5"/>
  <c r="S258" i="5"/>
  <c r="S246" i="5"/>
  <c r="S234" i="5"/>
  <c r="S222" i="5"/>
  <c r="S210" i="5"/>
  <c r="S198" i="5"/>
  <c r="S186" i="5"/>
  <c r="S174" i="5"/>
  <c r="S162" i="5"/>
  <c r="S150" i="5"/>
  <c r="S138" i="5"/>
  <c r="S126" i="5"/>
  <c r="S114" i="5"/>
  <c r="S102" i="5"/>
  <c r="S90" i="5"/>
  <c r="S78" i="5"/>
  <c r="S66" i="5"/>
  <c r="S54" i="5"/>
  <c r="S42" i="5"/>
  <c r="S30" i="5"/>
  <c r="S18" i="5"/>
  <c r="S6" i="5"/>
  <c r="W316" i="5"/>
  <c r="W304" i="5"/>
  <c r="W292" i="5"/>
  <c r="W280" i="5"/>
  <c r="W268" i="5"/>
  <c r="W256" i="5"/>
  <c r="W244" i="5"/>
  <c r="W232" i="5"/>
  <c r="W220" i="5"/>
  <c r="W208" i="5"/>
  <c r="W196" i="5"/>
  <c r="W184" i="5"/>
  <c r="W172" i="5"/>
  <c r="W160" i="5"/>
  <c r="W148" i="5"/>
  <c r="W136" i="5"/>
  <c r="W124" i="5"/>
  <c r="W112" i="5"/>
  <c r="W100" i="5"/>
  <c r="W88" i="5"/>
  <c r="W76" i="5"/>
  <c r="W64" i="5"/>
  <c r="W52" i="5"/>
  <c r="W40" i="5"/>
  <c r="W28" i="5"/>
  <c r="W16" i="5"/>
  <c r="W4" i="5"/>
  <c r="W238" i="5"/>
  <c r="W55" i="5"/>
  <c r="W283" i="5"/>
  <c r="W56" i="5"/>
  <c r="W79" i="5"/>
  <c r="W298" i="5"/>
  <c r="W80" i="5"/>
  <c r="W299" i="5"/>
  <c r="W140" i="5"/>
  <c r="W141" i="5"/>
  <c r="W237" i="5"/>
  <c r="W164" i="5"/>
  <c r="W165" i="5"/>
  <c r="W222" i="5"/>
  <c r="C76" i="5"/>
  <c r="K21" i="5"/>
  <c r="O139" i="5"/>
  <c r="S149" i="5"/>
  <c r="S113" i="5"/>
  <c r="S89" i="5"/>
  <c r="S65" i="5"/>
  <c r="S53" i="5"/>
  <c r="S41" i="5"/>
  <c r="S17" i="5"/>
  <c r="S5" i="5"/>
  <c r="S225" i="5"/>
  <c r="S35" i="5"/>
  <c r="S36" i="5"/>
  <c r="S73" i="5"/>
  <c r="S189" i="5"/>
  <c r="W255" i="5"/>
  <c r="W243" i="5"/>
  <c r="W231" i="5"/>
  <c r="W219" i="5"/>
  <c r="W207" i="5"/>
  <c r="W195" i="5"/>
  <c r="W183" i="5"/>
  <c r="W171" i="5"/>
  <c r="W159" i="5"/>
  <c r="W147" i="5"/>
  <c r="W135" i="5"/>
  <c r="W123" i="5"/>
  <c r="W111" i="5"/>
  <c r="W99" i="5"/>
  <c r="W87" i="5"/>
  <c r="W75" i="5"/>
  <c r="W63" i="5"/>
  <c r="W51" i="5"/>
  <c r="W39" i="5"/>
  <c r="W27" i="5"/>
  <c r="W15" i="5"/>
  <c r="C323" i="5"/>
  <c r="C198" i="5"/>
  <c r="C186" i="5"/>
  <c r="C174" i="5"/>
  <c r="C162" i="5"/>
  <c r="C126" i="5"/>
  <c r="C114" i="5"/>
  <c r="C102" i="5"/>
  <c r="C90" i="5"/>
  <c r="C78" i="5"/>
  <c r="C66" i="5"/>
  <c r="C54" i="5"/>
  <c r="C42" i="5"/>
  <c r="C30" i="5"/>
  <c r="C18" i="5"/>
  <c r="C6" i="5"/>
  <c r="G105" i="5"/>
  <c r="G81" i="5"/>
  <c r="G69" i="5"/>
  <c r="G57" i="5"/>
  <c r="G45" i="5"/>
  <c r="G33" i="5"/>
  <c r="G21" i="5"/>
  <c r="G9" i="5"/>
  <c r="K179" i="5"/>
  <c r="K167" i="5"/>
  <c r="K155" i="5"/>
  <c r="K143" i="5"/>
  <c r="K131" i="5"/>
  <c r="K119" i="5"/>
  <c r="K107" i="5"/>
  <c r="K95" i="5"/>
  <c r="K71" i="5"/>
  <c r="K59" i="5"/>
  <c r="K47" i="5"/>
  <c r="K35" i="5"/>
  <c r="K23" i="5"/>
  <c r="K11" i="5"/>
  <c r="O261" i="5"/>
  <c r="O249" i="5"/>
  <c r="O237" i="5"/>
  <c r="O225" i="5"/>
  <c r="O213" i="5"/>
  <c r="O201" i="5"/>
  <c r="O189" i="5"/>
  <c r="O177" i="5"/>
  <c r="O165" i="5"/>
  <c r="O153" i="5"/>
  <c r="O141" i="5"/>
  <c r="O129" i="5"/>
  <c r="O117" i="5"/>
  <c r="O105" i="5"/>
  <c r="O93" i="5"/>
  <c r="O81" i="5"/>
  <c r="O69" i="5"/>
  <c r="O57" i="5"/>
  <c r="O33" i="5"/>
  <c r="O21" i="5"/>
  <c r="O9" i="5"/>
  <c r="S319" i="5"/>
  <c r="S307" i="5"/>
  <c r="S295" i="5"/>
  <c r="S283" i="5"/>
  <c r="S271" i="5"/>
  <c r="S259" i="5"/>
  <c r="S247" i="5"/>
  <c r="S235" i="5"/>
  <c r="S223" i="5"/>
  <c r="S211" i="5"/>
  <c r="S199" i="5"/>
  <c r="S187" i="5"/>
  <c r="S175" i="5"/>
  <c r="S163" i="5"/>
  <c r="S151" i="5"/>
  <c r="S139" i="5"/>
  <c r="S127" i="5"/>
  <c r="S115" i="5"/>
  <c r="S103" i="5"/>
  <c r="S91" i="5"/>
  <c r="S79" i="5"/>
  <c r="S67" i="5"/>
  <c r="G77" i="5"/>
  <c r="G5" i="5"/>
  <c r="K127" i="5"/>
  <c r="K91" i="5"/>
  <c r="K31" i="5"/>
  <c r="O245" i="5"/>
  <c r="O185" i="5"/>
  <c r="O149" i="5"/>
  <c r="O113" i="5"/>
  <c r="O101" i="5"/>
  <c r="O89" i="5"/>
  <c r="O77" i="5"/>
  <c r="O53" i="5"/>
  <c r="O5" i="5"/>
  <c r="S315" i="5"/>
  <c r="S303" i="5"/>
  <c r="S291" i="5"/>
  <c r="S279" i="5"/>
  <c r="S267" i="5"/>
  <c r="S255" i="5"/>
  <c r="S243" i="5"/>
  <c r="S231" i="5"/>
  <c r="S219" i="5"/>
  <c r="S207" i="5"/>
  <c r="S195" i="5"/>
  <c r="S183" i="5"/>
  <c r="S171" i="5"/>
  <c r="S159" i="5"/>
  <c r="S147" i="5"/>
  <c r="S135" i="5"/>
  <c r="S123" i="5"/>
  <c r="S111" i="5"/>
  <c r="S99" i="5"/>
  <c r="S87" i="5"/>
  <c r="S75" i="5"/>
  <c r="S63" i="5"/>
  <c r="S51" i="5"/>
  <c r="S39" i="5"/>
  <c r="S27" i="5"/>
  <c r="S15" i="5"/>
  <c r="C297" i="5"/>
  <c r="O159" i="5"/>
  <c r="C313" i="5"/>
  <c r="C301" i="5"/>
  <c r="C289" i="5"/>
  <c r="C277" i="5"/>
  <c r="C265" i="5"/>
  <c r="C253" i="5"/>
  <c r="C241" i="5"/>
  <c r="C229" i="5"/>
  <c r="C217" i="5"/>
  <c r="C205" i="5"/>
  <c r="C193" i="5"/>
  <c r="C181" i="5"/>
  <c r="C169" i="5"/>
  <c r="C157" i="5"/>
  <c r="C145" i="5"/>
  <c r="C133" i="5"/>
  <c r="C121" i="5"/>
  <c r="C109" i="5"/>
  <c r="C97" i="5"/>
  <c r="C85" i="5"/>
  <c r="C73" i="5"/>
  <c r="C61" i="5"/>
  <c r="C37" i="5"/>
  <c r="C25" i="5"/>
  <c r="C13" i="5"/>
  <c r="G112" i="5"/>
  <c r="G100" i="5"/>
  <c r="G88" i="5"/>
  <c r="G76" i="5"/>
  <c r="G64" i="5"/>
  <c r="G52" i="5"/>
  <c r="G40" i="5"/>
  <c r="G28" i="5"/>
  <c r="G16" i="5"/>
  <c r="G3" i="5"/>
  <c r="G4" i="5"/>
  <c r="K174" i="5"/>
  <c r="K162" i="5"/>
  <c r="K138" i="5"/>
  <c r="K126" i="5"/>
  <c r="K114" i="5"/>
  <c r="K102" i="5"/>
  <c r="K90" i="5"/>
  <c r="K78" i="5"/>
  <c r="K66" i="5"/>
  <c r="K54" i="5"/>
  <c r="K42" i="5"/>
  <c r="K30" i="5"/>
  <c r="K18" i="5"/>
  <c r="K6" i="5"/>
  <c r="O256" i="5"/>
  <c r="O172" i="5"/>
  <c r="O124" i="5"/>
  <c r="O88" i="5"/>
  <c r="O136" i="5"/>
  <c r="K139" i="5"/>
  <c r="K67" i="5"/>
  <c r="O209" i="5"/>
  <c r="O41" i="5"/>
  <c r="C264" i="5"/>
  <c r="C192" i="5"/>
  <c r="C144" i="5"/>
  <c r="C84" i="5"/>
  <c r="C24" i="5"/>
  <c r="G75" i="5"/>
  <c r="G15" i="5"/>
  <c r="K137" i="5"/>
  <c r="K89" i="5"/>
  <c r="K41" i="5"/>
  <c r="K29" i="5"/>
  <c r="K17" i="5"/>
  <c r="K5" i="5"/>
  <c r="O255" i="5"/>
  <c r="O243" i="5"/>
  <c r="O231" i="5"/>
  <c r="O219" i="5"/>
  <c r="O207" i="5"/>
  <c r="O195" i="5"/>
  <c r="O183" i="5"/>
  <c r="O171" i="5"/>
  <c r="O147" i="5"/>
  <c r="O135" i="5"/>
  <c r="O123" i="5"/>
  <c r="O111" i="5"/>
  <c r="O99" i="5"/>
  <c r="O87" i="5"/>
  <c r="O75" i="5"/>
  <c r="O63" i="5"/>
  <c r="O51" i="5"/>
  <c r="O39" i="5"/>
  <c r="O27" i="5"/>
  <c r="O15" i="5"/>
  <c r="O126" i="5"/>
  <c r="G41" i="5"/>
  <c r="K163" i="5"/>
  <c r="K103" i="5"/>
  <c r="K43" i="5"/>
  <c r="O257" i="5"/>
  <c r="O221" i="5"/>
  <c r="O161" i="5"/>
  <c r="O29" i="5"/>
  <c r="C312" i="5"/>
  <c r="C276" i="5"/>
  <c r="C228" i="5"/>
  <c r="C156" i="5"/>
  <c r="C120" i="5"/>
  <c r="C96" i="5"/>
  <c r="C60" i="5"/>
  <c r="G111" i="5"/>
  <c r="G51" i="5"/>
  <c r="K173" i="5"/>
  <c r="K65" i="5"/>
  <c r="C311" i="5"/>
  <c r="C299" i="5"/>
  <c r="C275" i="5"/>
  <c r="C263" i="5"/>
  <c r="C239" i="5"/>
  <c r="C227" i="5"/>
  <c r="C203" i="5"/>
  <c r="C191" i="5"/>
  <c r="C167" i="5"/>
  <c r="C155" i="5"/>
  <c r="C143" i="5"/>
  <c r="C131" i="5"/>
  <c r="C119" i="5"/>
  <c r="C107" i="5"/>
  <c r="C95" i="5"/>
  <c r="C83" i="5"/>
  <c r="C71" i="5"/>
  <c r="C59" i="5"/>
  <c r="C47" i="5"/>
  <c r="C23" i="5"/>
  <c r="C11" i="5"/>
  <c r="G98" i="5"/>
  <c r="G86" i="5"/>
  <c r="G74" i="5"/>
  <c r="G62" i="5"/>
  <c r="K172" i="5"/>
  <c r="K148" i="5"/>
  <c r="O206" i="5"/>
  <c r="S21" i="5"/>
  <c r="O48" i="5"/>
  <c r="K151" i="5"/>
  <c r="K79" i="5"/>
  <c r="O197" i="5"/>
  <c r="K77" i="5"/>
  <c r="C310" i="5"/>
  <c r="C286" i="5"/>
  <c r="C250" i="5"/>
  <c r="C202" i="5"/>
  <c r="C166" i="5"/>
  <c r="C142" i="5"/>
  <c r="C118" i="5"/>
  <c r="C94" i="5"/>
  <c r="C70" i="5"/>
  <c r="C58" i="5"/>
  <c r="C46" i="5"/>
  <c r="C34" i="5"/>
  <c r="C22" i="5"/>
  <c r="C10" i="5"/>
  <c r="G97" i="5"/>
  <c r="G85" i="5"/>
  <c r="G73" i="5"/>
  <c r="G61" i="5"/>
  <c r="G37" i="5"/>
  <c r="G25" i="5"/>
  <c r="G13" i="5"/>
  <c r="K183" i="5"/>
  <c r="K171" i="5"/>
  <c r="K159" i="5"/>
  <c r="K147" i="5"/>
  <c r="K135" i="5"/>
  <c r="K123" i="5"/>
  <c r="K111" i="5"/>
  <c r="K99" i="5"/>
  <c r="K87" i="5"/>
  <c r="K75" i="5"/>
  <c r="K63" i="5"/>
  <c r="K51" i="5"/>
  <c r="K39" i="5"/>
  <c r="K27" i="5"/>
  <c r="K15" i="5"/>
  <c r="O205" i="5"/>
  <c r="O137" i="5"/>
  <c r="O65" i="5"/>
  <c r="G87" i="5"/>
  <c r="G39" i="5"/>
  <c r="K113" i="5"/>
  <c r="C130" i="5"/>
  <c r="C321" i="5"/>
  <c r="C285" i="5"/>
  <c r="C273" i="5"/>
  <c r="C249" i="5"/>
  <c r="C237" i="5"/>
  <c r="C213" i="5"/>
  <c r="C201" i="5"/>
  <c r="C177" i="5"/>
  <c r="C165" i="5"/>
  <c r="C153" i="5"/>
  <c r="C141" i="5"/>
  <c r="C129" i="5"/>
  <c r="C117" i="5"/>
  <c r="C93" i="5"/>
  <c r="C81" i="5"/>
  <c r="C69" i="5"/>
  <c r="C57" i="5"/>
  <c r="C45" i="5"/>
  <c r="C33" i="5"/>
  <c r="C21" i="5"/>
  <c r="O240" i="5"/>
  <c r="O204" i="5"/>
  <c r="O60" i="5"/>
  <c r="S286" i="5"/>
  <c r="S238" i="5"/>
  <c r="S142" i="5"/>
  <c r="S22" i="5"/>
  <c r="W284" i="5"/>
  <c r="O13" i="5"/>
  <c r="G53" i="5"/>
  <c r="K175" i="5"/>
  <c r="K115" i="5"/>
  <c r="K55" i="5"/>
  <c r="K7" i="5"/>
  <c r="O233" i="5"/>
  <c r="O173" i="5"/>
  <c r="O125" i="5"/>
  <c r="O17" i="5"/>
  <c r="C300" i="5"/>
  <c r="C240" i="5"/>
  <c r="C204" i="5"/>
  <c r="C168" i="5"/>
  <c r="C132" i="5"/>
  <c r="C108" i="5"/>
  <c r="C72" i="5"/>
  <c r="C48" i="5"/>
  <c r="C12" i="5"/>
  <c r="G99" i="5"/>
  <c r="G63" i="5"/>
  <c r="G27" i="5"/>
  <c r="K161" i="5"/>
  <c r="K125" i="5"/>
  <c r="K53" i="5"/>
  <c r="C322" i="5"/>
  <c r="C274" i="5"/>
  <c r="C238" i="5"/>
  <c r="C214" i="5"/>
  <c r="C178" i="5"/>
  <c r="C154" i="5"/>
  <c r="C82" i="5"/>
  <c r="C309" i="5"/>
  <c r="C320" i="5"/>
  <c r="C308" i="5"/>
  <c r="C296" i="5"/>
  <c r="C284" i="5"/>
  <c r="C272" i="5"/>
  <c r="C260" i="5"/>
  <c r="C248" i="5"/>
  <c r="C236" i="5"/>
  <c r="C224" i="5"/>
  <c r="C212" i="5"/>
  <c r="C200" i="5"/>
  <c r="C188" i="5"/>
  <c r="C176" i="5"/>
  <c r="C164" i="5"/>
  <c r="C152" i="5"/>
  <c r="C140" i="5"/>
  <c r="C128" i="5"/>
  <c r="C116" i="5"/>
  <c r="C104" i="5"/>
  <c r="C92" i="5"/>
  <c r="C80" i="5"/>
  <c r="S321" i="5"/>
  <c r="S285" i="5"/>
  <c r="S273" i="5"/>
  <c r="S237" i="5"/>
  <c r="S177" i="5"/>
  <c r="S141" i="5"/>
  <c r="S129" i="5"/>
  <c r="O12" i="5"/>
  <c r="K120" i="5"/>
  <c r="K108" i="5"/>
  <c r="K96" i="5"/>
  <c r="K84" i="5"/>
  <c r="K72" i="5"/>
  <c r="K60" i="5"/>
  <c r="K48" i="5"/>
  <c r="K36" i="5"/>
  <c r="K24" i="5"/>
  <c r="K12" i="5"/>
  <c r="O262" i="5"/>
  <c r="O250" i="5"/>
  <c r="O238" i="5"/>
  <c r="O226" i="5"/>
  <c r="O214" i="5"/>
  <c r="O202" i="5"/>
  <c r="O190" i="5"/>
  <c r="O178" i="5"/>
  <c r="O166" i="5"/>
  <c r="O154" i="5"/>
  <c r="O142" i="5"/>
  <c r="O130" i="5"/>
  <c r="O118" i="5"/>
  <c r="O106" i="5"/>
  <c r="O94" i="5"/>
  <c r="O82" i="5"/>
  <c r="O70" i="5"/>
  <c r="O58" i="5"/>
  <c r="O46" i="5"/>
  <c r="O34" i="5"/>
  <c r="O22" i="5"/>
  <c r="O10" i="5"/>
  <c r="S320" i="5"/>
  <c r="S308" i="5"/>
  <c r="S296" i="5"/>
  <c r="S284" i="5"/>
  <c r="S272" i="5"/>
  <c r="S260" i="5"/>
  <c r="S248" i="5"/>
  <c r="S236" i="5"/>
  <c r="S224" i="5"/>
  <c r="S212" i="5"/>
  <c r="S200" i="5"/>
  <c r="S188" i="5"/>
  <c r="S176" i="5"/>
  <c r="S164" i="5"/>
  <c r="S152" i="5"/>
  <c r="S140" i="5"/>
  <c r="S128" i="5"/>
  <c r="S116" i="5"/>
  <c r="S104" i="5"/>
  <c r="W306" i="5"/>
  <c r="W282" i="5"/>
  <c r="W198" i="5"/>
  <c r="W174" i="5"/>
  <c r="W138" i="5"/>
  <c r="W114" i="5"/>
  <c r="W54" i="5"/>
  <c r="W30" i="5"/>
  <c r="C68" i="5"/>
  <c r="C56" i="5"/>
  <c r="C44" i="5"/>
  <c r="C32" i="5"/>
  <c r="C20" i="5"/>
  <c r="C8" i="5"/>
  <c r="G107" i="5"/>
  <c r="G95" i="5"/>
  <c r="G83" i="5"/>
  <c r="G71" i="5"/>
  <c r="G59" i="5"/>
  <c r="G47" i="5"/>
  <c r="G35" i="5"/>
  <c r="G23" i="5"/>
  <c r="G11" i="5"/>
  <c r="K181" i="5"/>
  <c r="K169" i="5"/>
  <c r="K157" i="5"/>
  <c r="K145" i="5"/>
  <c r="K133" i="5"/>
  <c r="K121" i="5"/>
  <c r="K109" i="5"/>
  <c r="K97" i="5"/>
  <c r="K85" i="5"/>
  <c r="K73" i="5"/>
  <c r="K61" i="5"/>
  <c r="K49" i="5"/>
  <c r="K37" i="5"/>
  <c r="K25" i="5"/>
  <c r="K13" i="5"/>
  <c r="O263" i="5"/>
  <c r="O251" i="5"/>
  <c r="O239" i="5"/>
  <c r="O227" i="5"/>
  <c r="O215" i="5"/>
  <c r="O203" i="5"/>
  <c r="O191" i="5"/>
  <c r="O179" i="5"/>
  <c r="O167" i="5"/>
  <c r="O155" i="5"/>
  <c r="O143" i="5"/>
  <c r="O131" i="5"/>
  <c r="O119" i="5"/>
  <c r="O107" i="5"/>
  <c r="O95" i="5"/>
  <c r="O83" i="5"/>
  <c r="O71" i="5"/>
  <c r="O59" i="5"/>
  <c r="O47" i="5"/>
  <c r="O35" i="5"/>
  <c r="O23" i="5"/>
  <c r="O11" i="5"/>
  <c r="S309" i="5"/>
  <c r="S297" i="5"/>
  <c r="S261" i="5"/>
  <c r="S249" i="5"/>
  <c r="S213" i="5"/>
  <c r="S201" i="5"/>
  <c r="S165" i="5"/>
  <c r="S153" i="5"/>
  <c r="S117" i="5"/>
  <c r="S93" i="5"/>
  <c r="S57" i="5"/>
  <c r="W259" i="5"/>
  <c r="W139" i="5"/>
  <c r="W115" i="5"/>
  <c r="K8" i="5"/>
  <c r="O258" i="5"/>
  <c r="O246" i="5"/>
  <c r="O234" i="5"/>
  <c r="O222" i="5"/>
  <c r="O210" i="5"/>
  <c r="O198" i="5"/>
  <c r="O186" i="5"/>
  <c r="O174" i="5"/>
  <c r="O162" i="5"/>
  <c r="O150" i="5"/>
  <c r="O138" i="5"/>
  <c r="O114" i="5"/>
  <c r="O102" i="5"/>
  <c r="O78" i="5"/>
  <c r="O66" i="5"/>
  <c r="O54" i="5"/>
  <c r="O42" i="5"/>
  <c r="O30" i="5"/>
  <c r="O18" i="5"/>
  <c r="O6" i="5"/>
  <c r="S316" i="5"/>
  <c r="S304" i="5"/>
  <c r="S292" i="5"/>
  <c r="S280" i="5"/>
  <c r="S268" i="5"/>
  <c r="S256" i="5"/>
  <c r="S244" i="5"/>
  <c r="S232" i="5"/>
  <c r="S220" i="5"/>
  <c r="S208" i="5"/>
  <c r="S196" i="5"/>
  <c r="S184" i="5"/>
  <c r="S172" i="5"/>
  <c r="S160" i="5"/>
  <c r="S148" i="5"/>
  <c r="S136" i="5"/>
  <c r="S124" i="5"/>
  <c r="S112" i="5"/>
  <c r="S100" i="5"/>
  <c r="S88" i="5"/>
  <c r="S76" i="5"/>
  <c r="S64" i="5"/>
  <c r="S52" i="5"/>
  <c r="S40" i="5"/>
  <c r="S28" i="5"/>
  <c r="S16" i="5"/>
  <c r="S4" i="5"/>
  <c r="W314" i="5"/>
  <c r="W302" i="5"/>
  <c r="W290" i="5"/>
  <c r="W278" i="5"/>
  <c r="W266" i="5"/>
  <c r="W254" i="5"/>
  <c r="W242" i="5"/>
  <c r="W230" i="5"/>
  <c r="W218" i="5"/>
  <c r="W206" i="5"/>
  <c r="W194" i="5"/>
  <c r="W182" i="5"/>
  <c r="W170" i="5"/>
  <c r="W158" i="5"/>
  <c r="W146" i="5"/>
  <c r="W134" i="5"/>
  <c r="W122" i="5"/>
  <c r="W110" i="5"/>
  <c r="W98" i="5"/>
  <c r="W86" i="5"/>
  <c r="W74" i="5"/>
  <c r="W62" i="5"/>
  <c r="W50" i="5"/>
  <c r="W38" i="5"/>
  <c r="W26" i="5"/>
  <c r="W14" i="5"/>
  <c r="W313" i="5"/>
  <c r="W301" i="5"/>
  <c r="W289" i="5"/>
  <c r="W277" i="5"/>
  <c r="W265" i="5"/>
  <c r="W253" i="5"/>
  <c r="W241" i="5"/>
  <c r="W229" i="5"/>
  <c r="W217" i="5"/>
  <c r="W205" i="5"/>
  <c r="W193" i="5"/>
  <c r="W181" i="5"/>
  <c r="W169" i="5"/>
  <c r="W157" i="5"/>
  <c r="W145" i="5"/>
  <c r="W133" i="5"/>
  <c r="W121" i="5"/>
  <c r="W109" i="5"/>
  <c r="W97" i="5"/>
  <c r="W85" i="5"/>
  <c r="W73" i="5"/>
  <c r="W61" i="5"/>
  <c r="W49" i="5"/>
  <c r="W37" i="5"/>
  <c r="W25" i="5"/>
  <c r="W13" i="5"/>
  <c r="O244" i="5"/>
  <c r="O232" i="5"/>
  <c r="O220" i="5"/>
  <c r="O208" i="5"/>
  <c r="O196" i="5"/>
  <c r="O184" i="5"/>
  <c r="O160" i="5"/>
  <c r="O148" i="5"/>
  <c r="O112" i="5"/>
  <c r="O100" i="5"/>
  <c r="O76" i="5"/>
  <c r="O64" i="5"/>
  <c r="O52" i="5"/>
  <c r="O40" i="5"/>
  <c r="O28" i="5"/>
  <c r="O16" i="5"/>
  <c r="O4" i="5"/>
  <c r="S314" i="5"/>
  <c r="S302" i="5"/>
  <c r="S290" i="5"/>
  <c r="S278" i="5"/>
  <c r="S266" i="5"/>
  <c r="S254" i="5"/>
  <c r="S242" i="5"/>
  <c r="S230" i="5"/>
  <c r="S218" i="5"/>
  <c r="S206" i="5"/>
  <c r="S194" i="5"/>
  <c r="S182" i="5"/>
  <c r="S170" i="5"/>
  <c r="S158" i="5"/>
  <c r="S146" i="5"/>
  <c r="S134" i="5"/>
  <c r="S122" i="5"/>
  <c r="S110" i="5"/>
  <c r="S98" i="5"/>
  <c r="S38" i="5"/>
  <c r="S313" i="5"/>
  <c r="S301" i="5"/>
  <c r="S289" i="5"/>
  <c r="S277" i="5"/>
  <c r="S265" i="5"/>
  <c r="S253" i="5"/>
  <c r="S241" i="5"/>
  <c r="S229" i="5"/>
  <c r="S217" i="5"/>
  <c r="S205" i="5"/>
  <c r="S193" i="5"/>
  <c r="S181" i="5"/>
  <c r="S169" i="5"/>
  <c r="S157" i="5"/>
  <c r="S145" i="5"/>
  <c r="S133" i="5"/>
  <c r="S121" i="5"/>
  <c r="S109" i="5"/>
  <c r="S97" i="5"/>
  <c r="S85" i="5"/>
  <c r="S61" i="5"/>
  <c r="S37" i="5"/>
  <c r="W323" i="5"/>
  <c r="W239" i="5"/>
  <c r="G38" i="5"/>
  <c r="G26" i="5"/>
  <c r="G14" i="5"/>
  <c r="K3" i="5"/>
  <c r="K160" i="5"/>
  <c r="K136" i="5"/>
  <c r="K124" i="5"/>
  <c r="K112" i="5"/>
  <c r="K100" i="5"/>
  <c r="K88" i="5"/>
  <c r="K76" i="5"/>
  <c r="K64" i="5"/>
  <c r="K52" i="5"/>
  <c r="K40" i="5"/>
  <c r="K28" i="5"/>
  <c r="K16" i="5"/>
  <c r="K4" i="5"/>
  <c r="O254" i="5"/>
  <c r="O242" i="5"/>
  <c r="O230" i="5"/>
  <c r="O218" i="5"/>
  <c r="O194" i="5"/>
  <c r="O182" i="5"/>
  <c r="O170" i="5"/>
  <c r="O158" i="5"/>
  <c r="O146" i="5"/>
  <c r="O134" i="5"/>
  <c r="O122" i="5"/>
  <c r="O110" i="5"/>
  <c r="O98" i="5"/>
  <c r="O86" i="5"/>
  <c r="O74" i="5"/>
  <c r="O62" i="5"/>
  <c r="O50" i="5"/>
  <c r="O38" i="5"/>
  <c r="O26" i="5"/>
  <c r="O14" i="5"/>
  <c r="S3" i="5"/>
  <c r="S312" i="5"/>
  <c r="S300" i="5"/>
  <c r="S288" i="5"/>
  <c r="S276" i="5"/>
  <c r="S264" i="5"/>
  <c r="S252" i="5"/>
  <c r="S240" i="5"/>
  <c r="S228" i="5"/>
  <c r="S216" i="5"/>
  <c r="S204" i="5"/>
  <c r="S192" i="5"/>
  <c r="S180" i="5"/>
  <c r="S168" i="5"/>
  <c r="S156" i="5"/>
  <c r="S144" i="5"/>
  <c r="S132" i="5"/>
  <c r="S120" i="5"/>
  <c r="S108" i="5"/>
  <c r="S96" i="5"/>
  <c r="S84" i="5"/>
  <c r="S72" i="5"/>
  <c r="S60" i="5"/>
  <c r="S48" i="5"/>
  <c r="S24" i="5"/>
  <c r="W322" i="5"/>
  <c r="W262" i="5"/>
  <c r="W214" i="5"/>
  <c r="W190" i="5"/>
  <c r="W166" i="5"/>
  <c r="W106" i="5"/>
  <c r="W82" i="5"/>
  <c r="W46" i="5"/>
  <c r="W22" i="5"/>
  <c r="O253" i="5"/>
  <c r="O241" i="5"/>
  <c r="O229" i="5"/>
  <c r="O217" i="5"/>
  <c r="O193" i="5"/>
  <c r="O181" i="5"/>
  <c r="O157" i="5"/>
  <c r="O145" i="5"/>
  <c r="O133" i="5"/>
  <c r="O121" i="5"/>
  <c r="O109" i="5"/>
  <c r="O97" i="5"/>
  <c r="O85" i="5"/>
  <c r="O73" i="5"/>
  <c r="O61" i="5"/>
  <c r="O49" i="5"/>
  <c r="O37" i="5"/>
  <c r="O25" i="5"/>
  <c r="S323" i="5"/>
  <c r="S311" i="5"/>
  <c r="S299" i="5"/>
  <c r="S287" i="5"/>
  <c r="S275" i="5"/>
  <c r="S263" i="5"/>
  <c r="S251" i="5"/>
  <c r="S239" i="5"/>
  <c r="S227" i="5"/>
  <c r="S215" i="5"/>
  <c r="S203" i="5"/>
  <c r="S191" i="5"/>
  <c r="S179" i="5"/>
  <c r="S167" i="5"/>
  <c r="S155" i="5"/>
  <c r="S143" i="5"/>
  <c r="S131" i="5"/>
  <c r="S119" i="5"/>
  <c r="S107" i="5"/>
  <c r="S95" i="5"/>
  <c r="S83" i="5"/>
  <c r="S71" i="5"/>
  <c r="S59" i="5"/>
  <c r="S47" i="5"/>
  <c r="S23" i="5"/>
  <c r="S11" i="5"/>
  <c r="W321" i="5"/>
  <c r="W261" i="5"/>
  <c r="W213" i="5"/>
  <c r="W189" i="5"/>
  <c r="W105" i="5"/>
  <c r="W81" i="5"/>
  <c r="W21" i="5"/>
  <c r="C9" i="5"/>
  <c r="G108" i="5"/>
  <c r="G96" i="5"/>
  <c r="G84" i="5"/>
  <c r="G72" i="5"/>
  <c r="G60" i="5"/>
  <c r="G48" i="5"/>
  <c r="G36" i="5"/>
  <c r="G24" i="5"/>
  <c r="G12" i="5"/>
  <c r="K182" i="5"/>
  <c r="K158" i="5"/>
  <c r="K146" i="5"/>
  <c r="K134" i="5"/>
  <c r="K122" i="5"/>
  <c r="K110" i="5"/>
  <c r="K98" i="5"/>
  <c r="K86" i="5"/>
  <c r="K74" i="5"/>
  <c r="K62" i="5"/>
  <c r="K50" i="5"/>
  <c r="K38" i="5"/>
  <c r="K26" i="5"/>
  <c r="K14" i="5"/>
  <c r="O3" i="5"/>
  <c r="O228" i="5"/>
  <c r="O216" i="5"/>
  <c r="O192" i="5"/>
  <c r="O180" i="5"/>
  <c r="O168" i="5"/>
  <c r="O156" i="5"/>
  <c r="O144" i="5"/>
  <c r="O132" i="5"/>
  <c r="O120" i="5"/>
  <c r="O108" i="5"/>
  <c r="O96" i="5"/>
  <c r="O84" i="5"/>
  <c r="O72" i="5"/>
  <c r="O36" i="5"/>
  <c r="O24" i="5"/>
  <c r="S322" i="5"/>
  <c r="S310" i="5"/>
  <c r="S298" i="5"/>
  <c r="S274" i="5"/>
  <c r="S262" i="5"/>
  <c r="S250" i="5"/>
  <c r="S226" i="5"/>
  <c r="S214" i="5"/>
  <c r="S202" i="5"/>
  <c r="S178" i="5"/>
  <c r="S166" i="5"/>
  <c r="S154" i="5"/>
  <c r="S130" i="5"/>
  <c r="S118" i="5"/>
  <c r="S106" i="5"/>
  <c r="S94" i="5"/>
  <c r="S82" i="5"/>
  <c r="S70" i="5"/>
  <c r="S58" i="5"/>
  <c r="S46" i="5"/>
  <c r="S34" i="5"/>
  <c r="S10" i="5"/>
  <c r="W320" i="5"/>
  <c r="W308" i="5"/>
  <c r="W296" i="5"/>
  <c r="W272" i="5"/>
  <c r="W260" i="5"/>
  <c r="W20" i="5"/>
  <c r="S55" i="5"/>
  <c r="S43" i="5"/>
  <c r="S31" i="5"/>
  <c r="S19" i="5"/>
  <c r="S7" i="5"/>
  <c r="W317" i="5"/>
  <c r="W305" i="5"/>
  <c r="W293" i="5"/>
  <c r="W281" i="5"/>
  <c r="W269" i="5"/>
  <c r="W257" i="5"/>
  <c r="W245" i="5"/>
  <c r="W233" i="5"/>
  <c r="W221" i="5"/>
  <c r="W209" i="5"/>
  <c r="W197" i="5"/>
  <c r="W185" i="5"/>
  <c r="W173" i="5"/>
  <c r="W161" i="5"/>
  <c r="W149" i="5"/>
  <c r="W137" i="5"/>
  <c r="W125" i="5"/>
  <c r="W113" i="5"/>
  <c r="W101" i="5"/>
  <c r="W89" i="5"/>
  <c r="W77" i="5"/>
  <c r="W65" i="5"/>
  <c r="W53" i="5"/>
  <c r="W41" i="5"/>
  <c r="W29" i="5"/>
  <c r="W17" i="5"/>
  <c r="W5" i="5"/>
  <c r="S86" i="5"/>
  <c r="S62" i="5"/>
  <c r="S50" i="5"/>
  <c r="S26" i="5"/>
  <c r="S14" i="5"/>
  <c r="W3" i="5"/>
  <c r="W312" i="5"/>
  <c r="W300" i="5"/>
  <c r="W288" i="5"/>
  <c r="W276" i="5"/>
  <c r="W264" i="5"/>
  <c r="W252" i="5"/>
  <c r="W240" i="5"/>
  <c r="W228" i="5"/>
  <c r="W216" i="5"/>
  <c r="W204" i="5"/>
  <c r="W192" i="5"/>
  <c r="W180" i="5"/>
  <c r="W168" i="5"/>
  <c r="W156" i="5"/>
  <c r="W144" i="5"/>
  <c r="W132" i="5"/>
  <c r="W120" i="5"/>
  <c r="W108" i="5"/>
  <c r="W96" i="5"/>
  <c r="W84" i="5"/>
  <c r="W72" i="5"/>
  <c r="W60" i="5"/>
  <c r="W48" i="5"/>
  <c r="W36" i="5"/>
  <c r="W24" i="5"/>
  <c r="W12" i="5"/>
  <c r="S49" i="5"/>
  <c r="S25" i="5"/>
  <c r="S13" i="5"/>
  <c r="W311" i="5"/>
  <c r="W287" i="5"/>
  <c r="W275" i="5"/>
  <c r="W263" i="5"/>
  <c r="W251" i="5"/>
  <c r="W227" i="5"/>
  <c r="W215" i="5"/>
  <c r="W203" i="5"/>
  <c r="W191" i="5"/>
  <c r="W179" i="5"/>
  <c r="W167" i="5"/>
  <c r="W155" i="5"/>
  <c r="W143" i="5"/>
  <c r="W131" i="5"/>
  <c r="W119" i="5"/>
  <c r="W107" i="5"/>
  <c r="W95" i="5"/>
  <c r="W83" i="5"/>
  <c r="W71" i="5"/>
  <c r="W59" i="5"/>
  <c r="W47" i="5"/>
  <c r="W35" i="5"/>
  <c r="W23" i="5"/>
  <c r="W11" i="5"/>
  <c r="S12" i="5"/>
  <c r="W310" i="5"/>
  <c r="W286" i="5"/>
  <c r="W274" i="5"/>
  <c r="W250" i="5"/>
  <c r="W226" i="5"/>
  <c r="W202" i="5"/>
  <c r="W178" i="5"/>
  <c r="W154" i="5"/>
  <c r="W142" i="5"/>
  <c r="W130" i="5"/>
  <c r="W118" i="5"/>
  <c r="W94" i="5"/>
  <c r="W70" i="5"/>
  <c r="W58" i="5"/>
  <c r="W34" i="5"/>
  <c r="W10" i="5"/>
  <c r="W309" i="5"/>
  <c r="W297" i="5"/>
  <c r="W285" i="5"/>
  <c r="W273" i="5"/>
  <c r="W249" i="5"/>
  <c r="W225" i="5"/>
  <c r="W201" i="5"/>
  <c r="W177" i="5"/>
  <c r="W153" i="5"/>
  <c r="W129" i="5"/>
  <c r="W117" i="5"/>
  <c r="W93" i="5"/>
  <c r="W69" i="5"/>
  <c r="W57" i="5"/>
  <c r="W45" i="5"/>
  <c r="W33" i="5"/>
  <c r="W9" i="5"/>
  <c r="W248" i="5"/>
  <c r="W236" i="5"/>
  <c r="W224" i="5"/>
  <c r="W212" i="5"/>
  <c r="W200" i="5"/>
  <c r="W188" i="5"/>
  <c r="W176" i="5"/>
  <c r="W152" i="5"/>
  <c r="W128" i="5"/>
  <c r="W116" i="5"/>
  <c r="W104" i="5"/>
  <c r="W92" i="5"/>
  <c r="W68" i="5"/>
  <c r="W44" i="5"/>
  <c r="W32" i="5"/>
  <c r="W8" i="5"/>
  <c r="S105" i="5"/>
  <c r="S81" i="5"/>
  <c r="S69" i="5"/>
  <c r="S45" i="5"/>
  <c r="S33" i="5"/>
  <c r="S9" i="5"/>
  <c r="W319" i="5"/>
  <c r="W307" i="5"/>
  <c r="W295" i="5"/>
  <c r="W271" i="5"/>
  <c r="W247" i="5"/>
  <c r="W235" i="5"/>
  <c r="W223" i="5"/>
  <c r="W211" i="5"/>
  <c r="W199" i="5"/>
  <c r="W187" i="5"/>
  <c r="W175" i="5"/>
  <c r="W163" i="5"/>
  <c r="W151" i="5"/>
  <c r="W127" i="5"/>
  <c r="W103" i="5"/>
  <c r="W91" i="5"/>
  <c r="W67" i="5"/>
  <c r="W43" i="5"/>
  <c r="W31" i="5"/>
  <c r="W19" i="5"/>
  <c r="W7" i="5"/>
  <c r="S92" i="5"/>
  <c r="S80" i="5"/>
  <c r="S68" i="5"/>
  <c r="S56" i="5"/>
  <c r="S44" i="5"/>
  <c r="S32" i="5"/>
  <c r="S20" i="5"/>
  <c r="S8" i="5"/>
  <c r="W318" i="5"/>
  <c r="W294" i="5"/>
  <c r="W270" i="5"/>
  <c r="W258" i="5"/>
  <c r="W246" i="5"/>
  <c r="W234" i="5"/>
  <c r="W210" i="5"/>
  <c r="W186" i="5"/>
  <c r="W162" i="5"/>
  <c r="W150" i="5"/>
  <c r="W126" i="5"/>
  <c r="W102" i="5"/>
  <c r="W90" i="5"/>
  <c r="W78" i="5"/>
  <c r="W66" i="5"/>
  <c r="W42" i="5"/>
  <c r="W18" i="5"/>
  <c r="W6" i="5"/>
  <c r="J236" i="6" l="1"/>
  <c r="J95" i="6"/>
  <c r="J89" i="6"/>
  <c r="C79" i="6"/>
  <c r="C30" i="6"/>
  <c r="C21" i="6"/>
  <c r="C23" i="6"/>
  <c r="C146" i="6"/>
  <c r="C147" i="6"/>
  <c r="J50" i="6"/>
  <c r="J206" i="6"/>
  <c r="J148" i="6"/>
  <c r="J208" i="6"/>
  <c r="C18" i="6"/>
  <c r="C67" i="6"/>
  <c r="C9" i="6"/>
  <c r="C11" i="6"/>
  <c r="C86" i="6"/>
  <c r="C61" i="6"/>
  <c r="J88" i="6"/>
  <c r="J68" i="6"/>
  <c r="C17" i="6"/>
  <c r="C54" i="6"/>
  <c r="C151" i="6"/>
  <c r="C57" i="6"/>
  <c r="C119" i="6"/>
  <c r="C52" i="6"/>
  <c r="J86" i="6"/>
  <c r="J316" i="6"/>
  <c r="C42" i="6"/>
  <c r="C71" i="6"/>
  <c r="C29" i="6"/>
  <c r="C90" i="6"/>
  <c r="C8" i="6"/>
  <c r="C81" i="6"/>
  <c r="C155" i="6"/>
  <c r="C112" i="6"/>
  <c r="J146" i="6"/>
  <c r="J53" i="6"/>
  <c r="C53" i="6"/>
  <c r="C102" i="6"/>
  <c r="C20" i="6"/>
  <c r="C141" i="6"/>
  <c r="C36" i="6"/>
  <c r="C160" i="6"/>
  <c r="C65" i="6"/>
  <c r="C114" i="6"/>
  <c r="C32" i="6"/>
  <c r="C10" i="6"/>
  <c r="C48" i="6"/>
  <c r="C13" i="6"/>
  <c r="J278" i="6"/>
  <c r="J209" i="6"/>
  <c r="C77" i="6"/>
  <c r="C150" i="6"/>
  <c r="C44" i="6"/>
  <c r="C22" i="6"/>
  <c r="C84" i="6"/>
  <c r="C159" i="6"/>
  <c r="J39" i="6"/>
  <c r="J18" i="6"/>
  <c r="C115" i="6"/>
  <c r="C16" i="6"/>
  <c r="C89" i="6"/>
  <c r="C7" i="6"/>
  <c r="C56" i="6"/>
  <c r="C34" i="6"/>
  <c r="C120" i="6"/>
  <c r="C145" i="6"/>
  <c r="J87" i="6"/>
  <c r="J102" i="6"/>
  <c r="C101" i="6"/>
  <c r="C19" i="6"/>
  <c r="C80" i="6"/>
  <c r="C46" i="6"/>
  <c r="C180" i="6"/>
  <c r="C171" i="6"/>
  <c r="J123" i="6"/>
  <c r="J246" i="6"/>
  <c r="C5" i="6"/>
  <c r="C45" i="6"/>
  <c r="C149" i="6"/>
  <c r="C43" i="6"/>
  <c r="C116" i="6"/>
  <c r="C106" i="6"/>
  <c r="C14" i="6"/>
  <c r="C111" i="6"/>
  <c r="J219" i="6"/>
  <c r="J55" i="6"/>
  <c r="C6" i="6"/>
  <c r="C55" i="6"/>
  <c r="C176" i="6"/>
  <c r="C154" i="6"/>
  <c r="C50" i="6"/>
  <c r="C121" i="6"/>
  <c r="J16" i="6"/>
  <c r="J259" i="6"/>
  <c r="C137" i="6"/>
  <c r="C164" i="6"/>
  <c r="C129" i="6"/>
  <c r="C94" i="6"/>
  <c r="C59" i="6"/>
  <c r="C24" i="6"/>
  <c r="C168" i="6"/>
  <c r="C134" i="6"/>
  <c r="C100" i="6"/>
  <c r="C87" i="6"/>
  <c r="C39" i="6"/>
  <c r="C75" i="6"/>
  <c r="J134" i="6"/>
  <c r="J27" i="6"/>
  <c r="J207" i="6"/>
  <c r="J76" i="6"/>
  <c r="J292" i="6"/>
  <c r="J173" i="6"/>
  <c r="J78" i="6"/>
  <c r="J31" i="6"/>
  <c r="J56" i="6"/>
  <c r="J59" i="6"/>
  <c r="C161" i="6"/>
  <c r="C153" i="6"/>
  <c r="C118" i="6"/>
  <c r="C83" i="6"/>
  <c r="C158" i="6"/>
  <c r="C124" i="6"/>
  <c r="C25" i="6"/>
  <c r="C183" i="6"/>
  <c r="J14" i="6"/>
  <c r="J170" i="6"/>
  <c r="J51" i="6"/>
  <c r="J231" i="6"/>
  <c r="J100" i="6"/>
  <c r="J5" i="6"/>
  <c r="J221" i="6"/>
  <c r="J114" i="6"/>
  <c r="J91" i="6"/>
  <c r="J92" i="6"/>
  <c r="J119" i="6"/>
  <c r="J253" i="6"/>
  <c r="AA66" i="5"/>
  <c r="AA138" i="5"/>
  <c r="C173" i="6"/>
  <c r="C126" i="6"/>
  <c r="C91" i="6"/>
  <c r="C165" i="6"/>
  <c r="C130" i="6"/>
  <c r="C95" i="6"/>
  <c r="C60" i="6"/>
  <c r="C26" i="6"/>
  <c r="C170" i="6"/>
  <c r="C136" i="6"/>
  <c r="C97" i="6"/>
  <c r="C73" i="6"/>
  <c r="J26" i="6"/>
  <c r="J182" i="6"/>
  <c r="J63" i="6"/>
  <c r="J255" i="6"/>
  <c r="J112" i="6"/>
  <c r="J29" i="6"/>
  <c r="J233" i="6"/>
  <c r="J138" i="6"/>
  <c r="J103" i="6"/>
  <c r="J116" i="6"/>
  <c r="J143" i="6"/>
  <c r="J178" i="6"/>
  <c r="C41" i="6"/>
  <c r="C138" i="6"/>
  <c r="C103" i="6"/>
  <c r="C68" i="6"/>
  <c r="C33" i="6"/>
  <c r="C177" i="6"/>
  <c r="C142" i="6"/>
  <c r="C107" i="6"/>
  <c r="C72" i="6"/>
  <c r="C38" i="6"/>
  <c r="C182" i="6"/>
  <c r="C148" i="6"/>
  <c r="C169" i="6"/>
  <c r="C49" i="6"/>
  <c r="J38" i="6"/>
  <c r="J194" i="6"/>
  <c r="J75" i="6"/>
  <c r="J279" i="6"/>
  <c r="J124" i="6"/>
  <c r="J41" i="6"/>
  <c r="J257" i="6"/>
  <c r="J174" i="6"/>
  <c r="J115" i="6"/>
  <c r="J128" i="6"/>
  <c r="J203" i="6"/>
  <c r="J105" i="6"/>
  <c r="J291" i="6"/>
  <c r="J281" i="6"/>
  <c r="J186" i="6"/>
  <c r="J139" i="6"/>
  <c r="J152" i="6"/>
  <c r="J287" i="6"/>
  <c r="J144" i="6"/>
  <c r="C162" i="6"/>
  <c r="C127" i="6"/>
  <c r="C92" i="6"/>
  <c r="C166" i="6"/>
  <c r="C131" i="6"/>
  <c r="C96" i="6"/>
  <c r="C62" i="6"/>
  <c r="C28" i="6"/>
  <c r="C172" i="6"/>
  <c r="C27" i="6"/>
  <c r="C51" i="6"/>
  <c r="J62" i="6"/>
  <c r="J230" i="6"/>
  <c r="J99" i="6"/>
  <c r="J315" i="6"/>
  <c r="J172" i="6"/>
  <c r="J65" i="6"/>
  <c r="J317" i="6"/>
  <c r="J198" i="6"/>
  <c r="J163" i="6"/>
  <c r="J188" i="6"/>
  <c r="J274" i="6"/>
  <c r="C174" i="6"/>
  <c r="C139" i="6"/>
  <c r="C104" i="6"/>
  <c r="C69" i="6"/>
  <c r="C178" i="6"/>
  <c r="C143" i="6"/>
  <c r="C108" i="6"/>
  <c r="C74" i="6"/>
  <c r="C40" i="6"/>
  <c r="C4" i="6"/>
  <c r="C99" i="6"/>
  <c r="C123" i="6"/>
  <c r="J74" i="6"/>
  <c r="J266" i="6"/>
  <c r="J111" i="6"/>
  <c r="J4" i="6"/>
  <c r="J184" i="6"/>
  <c r="J77" i="6"/>
  <c r="J6" i="6"/>
  <c r="J222" i="6"/>
  <c r="J199" i="6"/>
  <c r="J212" i="6"/>
  <c r="J201" i="6"/>
  <c r="J121" i="6"/>
  <c r="C163" i="6"/>
  <c r="C128" i="6"/>
  <c r="C93" i="6"/>
  <c r="C58" i="6"/>
  <c r="C167" i="6"/>
  <c r="C132" i="6"/>
  <c r="C98" i="6"/>
  <c r="C64" i="6"/>
  <c r="C85" i="6"/>
  <c r="C37" i="6"/>
  <c r="C133" i="6"/>
  <c r="J98" i="6"/>
  <c r="J290" i="6"/>
  <c r="J135" i="6"/>
  <c r="J28" i="6"/>
  <c r="J244" i="6"/>
  <c r="J113" i="6"/>
  <c r="J30" i="6"/>
  <c r="J282" i="6"/>
  <c r="J283" i="6"/>
  <c r="J296" i="6"/>
  <c r="J48" i="6"/>
  <c r="C113" i="6"/>
  <c r="C66" i="6"/>
  <c r="C31" i="6"/>
  <c r="C175" i="6"/>
  <c r="C140" i="6"/>
  <c r="C105" i="6"/>
  <c r="C70" i="6"/>
  <c r="C35" i="6"/>
  <c r="C179" i="6"/>
  <c r="C144" i="6"/>
  <c r="C110" i="6"/>
  <c r="C76" i="6"/>
  <c r="C157" i="6"/>
  <c r="C109" i="6"/>
  <c r="C63" i="6"/>
  <c r="J110" i="6"/>
  <c r="J314" i="6"/>
  <c r="J147" i="6"/>
  <c r="J40" i="6"/>
  <c r="J256" i="6"/>
  <c r="J137" i="6"/>
  <c r="J42" i="6"/>
  <c r="J7" i="6"/>
  <c r="J8" i="6"/>
  <c r="J23" i="6"/>
  <c r="J36" i="6"/>
  <c r="C125" i="6"/>
  <c r="C78" i="6"/>
  <c r="C152" i="6"/>
  <c r="C117" i="6"/>
  <c r="C82" i="6"/>
  <c r="C47" i="6"/>
  <c r="C12" i="6"/>
  <c r="C156" i="6"/>
  <c r="C122" i="6"/>
  <c r="C88" i="6"/>
  <c r="C15" i="6"/>
  <c r="C181" i="6"/>
  <c r="C135" i="6"/>
  <c r="J122" i="6"/>
  <c r="J15" i="6"/>
  <c r="J171" i="6"/>
  <c r="J64" i="6"/>
  <c r="J268" i="6"/>
  <c r="J149" i="6"/>
  <c r="J54" i="6"/>
  <c r="J19" i="6"/>
  <c r="J44" i="6"/>
  <c r="J35" i="6"/>
  <c r="AA18" i="5"/>
  <c r="AA55" i="5"/>
  <c r="AA31" i="5"/>
  <c r="AA43" i="5"/>
  <c r="AA78" i="5"/>
  <c r="AA103" i="5"/>
  <c r="AA115" i="5"/>
  <c r="AA127" i="5"/>
  <c r="AA160" i="5"/>
  <c r="AA125" i="5"/>
  <c r="AA13" i="5"/>
  <c r="AA6" i="5"/>
  <c r="Z144" i="5"/>
  <c r="Z165" i="5"/>
  <c r="Z58" i="5"/>
  <c r="J158" i="6"/>
  <c r="J302" i="6"/>
  <c r="J243" i="6"/>
  <c r="J136" i="6"/>
  <c r="J280" i="6"/>
  <c r="J101" i="6"/>
  <c r="J245" i="6"/>
  <c r="J66" i="6"/>
  <c r="J210" i="6"/>
  <c r="J127" i="6"/>
  <c r="J271" i="6"/>
  <c r="J80" i="6"/>
  <c r="J224" i="6"/>
  <c r="J131" i="6"/>
  <c r="J275" i="6"/>
  <c r="Z183" i="5"/>
  <c r="Z148" i="5"/>
  <c r="AA148" i="5" s="1"/>
  <c r="Z113" i="5"/>
  <c r="AA113" i="5" s="1"/>
  <c r="Z21" i="5"/>
  <c r="AA21" i="5" s="1"/>
  <c r="Z71" i="5"/>
  <c r="AA70" i="5" s="1"/>
  <c r="Z145" i="5"/>
  <c r="AA145" i="5" s="1"/>
  <c r="Z39" i="5"/>
  <c r="J289" i="6"/>
  <c r="J214" i="6"/>
  <c r="J141" i="6"/>
  <c r="J25" i="6"/>
  <c r="J310" i="6"/>
  <c r="J237" i="6"/>
  <c r="J157" i="6"/>
  <c r="J84" i="6"/>
  <c r="J10" i="6"/>
  <c r="AA90" i="5"/>
  <c r="Z36" i="5"/>
  <c r="J267" i="6"/>
  <c r="J160" i="6"/>
  <c r="J304" i="6"/>
  <c r="J125" i="6"/>
  <c r="J269" i="6"/>
  <c r="J90" i="6"/>
  <c r="J234" i="6"/>
  <c r="J151" i="6"/>
  <c r="J295" i="6"/>
  <c r="J104" i="6"/>
  <c r="J248" i="6"/>
  <c r="J11" i="6"/>
  <c r="J155" i="6"/>
  <c r="J299" i="6"/>
  <c r="Z28" i="5"/>
  <c r="Z172" i="5"/>
  <c r="AA172" i="5" s="1"/>
  <c r="Z137" i="5"/>
  <c r="AA137" i="5" s="1"/>
  <c r="Z45" i="5"/>
  <c r="AA45" i="5" s="1"/>
  <c r="Z95" i="5"/>
  <c r="Z25" i="5"/>
  <c r="AA25" i="5" s="1"/>
  <c r="Z63" i="5"/>
  <c r="J217" i="6"/>
  <c r="J142" i="6"/>
  <c r="J69" i="6"/>
  <c r="J312" i="6"/>
  <c r="J238" i="6"/>
  <c r="J165" i="6"/>
  <c r="J85" i="6"/>
  <c r="J12" i="6"/>
  <c r="J297" i="6"/>
  <c r="Z48" i="5"/>
  <c r="Z12" i="5"/>
  <c r="AA12" i="5" s="1"/>
  <c r="Z72" i="5"/>
  <c r="Z177" i="5"/>
  <c r="J307" i="6"/>
  <c r="J260" i="6"/>
  <c r="J167" i="6"/>
  <c r="J311" i="6"/>
  <c r="Z40" i="5"/>
  <c r="Z5" i="5"/>
  <c r="AA5" i="5" s="1"/>
  <c r="Z57" i="5"/>
  <c r="Z107" i="5"/>
  <c r="Z37" i="5"/>
  <c r="AA37" i="5" s="1"/>
  <c r="Z75" i="5"/>
  <c r="AA74" i="5" s="1"/>
  <c r="J181" i="6"/>
  <c r="J106" i="6"/>
  <c r="J33" i="6"/>
  <c r="J276" i="6"/>
  <c r="J202" i="6"/>
  <c r="J129" i="6"/>
  <c r="J49" i="6"/>
  <c r="J252" i="6"/>
  <c r="J261" i="6"/>
  <c r="Z84" i="5"/>
  <c r="AA83" i="5" s="1"/>
  <c r="Z60" i="5"/>
  <c r="AA60" i="5" s="1"/>
  <c r="Z120" i="5"/>
  <c r="J293" i="6"/>
  <c r="J258" i="6"/>
  <c r="J175" i="6"/>
  <c r="J319" i="6"/>
  <c r="J272" i="6"/>
  <c r="J179" i="6"/>
  <c r="J323" i="6"/>
  <c r="Z52" i="5"/>
  <c r="AA51" i="5" s="1"/>
  <c r="Z17" i="5"/>
  <c r="AA17" i="5" s="1"/>
  <c r="Z69" i="5"/>
  <c r="AA69" i="5" s="1"/>
  <c r="Z119" i="5"/>
  <c r="AA119" i="5" s="1"/>
  <c r="Z49" i="5"/>
  <c r="AA49" i="5" s="1"/>
  <c r="Z87" i="5"/>
  <c r="J145" i="6"/>
  <c r="J70" i="6"/>
  <c r="J313" i="6"/>
  <c r="J240" i="6"/>
  <c r="J166" i="6"/>
  <c r="J93" i="6"/>
  <c r="J13" i="6"/>
  <c r="J298" i="6"/>
  <c r="J225" i="6"/>
  <c r="Z132" i="5"/>
  <c r="Z108" i="5"/>
  <c r="Z168" i="5"/>
  <c r="AA168" i="5" s="1"/>
  <c r="J218" i="6"/>
  <c r="J159" i="6"/>
  <c r="J303" i="6"/>
  <c r="J52" i="6"/>
  <c r="J196" i="6"/>
  <c r="J17" i="6"/>
  <c r="J161" i="6"/>
  <c r="J305" i="6"/>
  <c r="J126" i="6"/>
  <c r="J270" i="6"/>
  <c r="J43" i="6"/>
  <c r="J187" i="6"/>
  <c r="J140" i="6"/>
  <c r="J284" i="6"/>
  <c r="J47" i="6"/>
  <c r="J191" i="6"/>
  <c r="Z64" i="5"/>
  <c r="AA64" i="5" s="1"/>
  <c r="Z29" i="5"/>
  <c r="AA29" i="5" s="1"/>
  <c r="Z81" i="5"/>
  <c r="AA81" i="5" s="1"/>
  <c r="Z131" i="5"/>
  <c r="Z61" i="5"/>
  <c r="AA61" i="5" s="1"/>
  <c r="Z99" i="5"/>
  <c r="AA98" i="5" s="1"/>
  <c r="J109" i="6"/>
  <c r="J34" i="6"/>
  <c r="J277" i="6"/>
  <c r="J204" i="6"/>
  <c r="J130" i="6"/>
  <c r="J57" i="6"/>
  <c r="J288" i="6"/>
  <c r="J262" i="6"/>
  <c r="J189" i="6"/>
  <c r="Z180" i="5"/>
  <c r="AA180" i="5" s="1"/>
  <c r="Z156" i="5"/>
  <c r="AA156" i="5" s="1"/>
  <c r="Z130" i="5"/>
  <c r="AA130" i="5" s="1"/>
  <c r="Z76" i="5"/>
  <c r="Z41" i="5"/>
  <c r="AA41" i="5" s="1"/>
  <c r="Z150" i="5"/>
  <c r="AA150" i="5" s="1"/>
  <c r="Z93" i="5"/>
  <c r="AA93" i="5" s="1"/>
  <c r="Z178" i="5"/>
  <c r="Z143" i="5"/>
  <c r="AA143" i="5" s="1"/>
  <c r="Z73" i="5"/>
  <c r="AA73" i="5" s="1"/>
  <c r="Z111" i="5"/>
  <c r="AA110" i="5" s="1"/>
  <c r="J73" i="6"/>
  <c r="J3" i="6"/>
  <c r="J241" i="6"/>
  <c r="J168" i="6"/>
  <c r="J94" i="6"/>
  <c r="J21" i="6"/>
  <c r="J300" i="6"/>
  <c r="J226" i="6"/>
  <c r="J153" i="6"/>
  <c r="Z166" i="5"/>
  <c r="J242" i="6"/>
  <c r="J183" i="6"/>
  <c r="J220" i="6"/>
  <c r="J185" i="6"/>
  <c r="J150" i="6"/>
  <c r="J294" i="6"/>
  <c r="J67" i="6"/>
  <c r="J211" i="6"/>
  <c r="J20" i="6"/>
  <c r="J164" i="6"/>
  <c r="J308" i="6"/>
  <c r="J71" i="6"/>
  <c r="J215" i="6"/>
  <c r="Z88" i="5"/>
  <c r="Z53" i="5"/>
  <c r="AA53" i="5" s="1"/>
  <c r="Z162" i="5"/>
  <c r="AA162" i="5" s="1"/>
  <c r="Z105" i="5"/>
  <c r="AA105" i="5" s="1"/>
  <c r="Z11" i="5"/>
  <c r="AA11" i="5" s="1"/>
  <c r="Z155" i="5"/>
  <c r="AA155" i="5" s="1"/>
  <c r="Z85" i="5"/>
  <c r="AA85" i="5" s="1"/>
  <c r="Z158" i="5"/>
  <c r="Z123" i="5"/>
  <c r="J37" i="6"/>
  <c r="J321" i="6"/>
  <c r="J205" i="6"/>
  <c r="J132" i="6"/>
  <c r="J58" i="6"/>
  <c r="J72" i="6"/>
  <c r="J264" i="6"/>
  <c r="J190" i="6"/>
  <c r="J117" i="6"/>
  <c r="J254" i="6"/>
  <c r="J195" i="6"/>
  <c r="J232" i="6"/>
  <c r="J197" i="6"/>
  <c r="J162" i="6"/>
  <c r="J306" i="6"/>
  <c r="J79" i="6"/>
  <c r="J223" i="6"/>
  <c r="J32" i="6"/>
  <c r="J176" i="6"/>
  <c r="J320" i="6"/>
  <c r="J83" i="6"/>
  <c r="J227" i="6"/>
  <c r="Z100" i="5"/>
  <c r="Z65" i="5"/>
  <c r="AA65" i="5" s="1"/>
  <c r="Z174" i="5"/>
  <c r="AA174" i="5" s="1"/>
  <c r="Z152" i="5"/>
  <c r="AA152" i="5" s="1"/>
  <c r="Z117" i="5"/>
  <c r="AA117" i="5" s="1"/>
  <c r="Z23" i="5"/>
  <c r="AA22" i="5" s="1"/>
  <c r="Z167" i="5"/>
  <c r="Z97" i="5"/>
  <c r="AA97" i="5" s="1"/>
  <c r="Z170" i="5"/>
  <c r="Z135" i="5"/>
  <c r="AA135" i="5" s="1"/>
  <c r="J108" i="6"/>
  <c r="J285" i="6"/>
  <c r="J169" i="6"/>
  <c r="J96" i="6"/>
  <c r="J22" i="6"/>
  <c r="J301" i="6"/>
  <c r="J228" i="6"/>
  <c r="J154" i="6"/>
  <c r="J81" i="6"/>
  <c r="J318" i="6"/>
  <c r="J235" i="6"/>
  <c r="J239" i="6"/>
  <c r="Z112" i="5"/>
  <c r="AA112" i="5" s="1"/>
  <c r="Z77" i="5"/>
  <c r="AA77" i="5" s="1"/>
  <c r="Z164" i="5"/>
  <c r="AA164" i="5" s="1"/>
  <c r="Z129" i="5"/>
  <c r="Z35" i="5"/>
  <c r="AA35" i="5" s="1"/>
  <c r="Z179" i="5"/>
  <c r="Z109" i="5"/>
  <c r="AA109" i="5" s="1"/>
  <c r="Z182" i="5"/>
  <c r="AA181" i="5" s="1"/>
  <c r="Z147" i="5"/>
  <c r="AA147" i="5" s="1"/>
  <c r="J322" i="6"/>
  <c r="J249" i="6"/>
  <c r="J133" i="6"/>
  <c r="J60" i="6"/>
  <c r="J216" i="6"/>
  <c r="J265" i="6"/>
  <c r="J192" i="6"/>
  <c r="J118" i="6"/>
  <c r="J45" i="6"/>
  <c r="Z24" i="5"/>
  <c r="AA24" i="5" s="1"/>
  <c r="J247" i="6"/>
  <c r="J200" i="6"/>
  <c r="J107" i="6"/>
  <c r="J251" i="6"/>
  <c r="Z159" i="5"/>
  <c r="AA159" i="5" s="1"/>
  <c r="Z124" i="5"/>
  <c r="AA124" i="5" s="1"/>
  <c r="Z89" i="5"/>
  <c r="AA89" i="5" s="1"/>
  <c r="Z176" i="5"/>
  <c r="AA176" i="5" s="1"/>
  <c r="Z141" i="5"/>
  <c r="AA141" i="5" s="1"/>
  <c r="Z47" i="5"/>
  <c r="AA47" i="5" s="1"/>
  <c r="Z121" i="5"/>
  <c r="AA121" i="5" s="1"/>
  <c r="Z15" i="5"/>
  <c r="AA15" i="5" s="1"/>
  <c r="J286" i="6"/>
  <c r="J213" i="6"/>
  <c r="J97" i="6"/>
  <c r="J24" i="6"/>
  <c r="J309" i="6"/>
  <c r="J229" i="6"/>
  <c r="J156" i="6"/>
  <c r="J82" i="6"/>
  <c r="J9" i="6"/>
  <c r="Z96" i="5"/>
  <c r="Z34" i="5"/>
  <c r="J263" i="6"/>
  <c r="Z171" i="5"/>
  <c r="AA171" i="5" s="1"/>
  <c r="Z136" i="5"/>
  <c r="AA136" i="5" s="1"/>
  <c r="Z101" i="5"/>
  <c r="AA101" i="5" s="1"/>
  <c r="Z9" i="5"/>
  <c r="AA9" i="5" s="1"/>
  <c r="Z59" i="5"/>
  <c r="AA59" i="5" s="1"/>
  <c r="Z133" i="5"/>
  <c r="AA133" i="5" s="1"/>
  <c r="Z27" i="5"/>
  <c r="AA27" i="5" s="1"/>
  <c r="J250" i="6"/>
  <c r="J177" i="6"/>
  <c r="J61" i="6"/>
  <c r="J180" i="6"/>
  <c r="J273" i="6"/>
  <c r="J193" i="6"/>
  <c r="J120" i="6"/>
  <c r="J46" i="6"/>
  <c r="D3" i="6" l="1"/>
  <c r="AA34" i="5"/>
  <c r="AA179" i="5"/>
  <c r="AA166" i="5"/>
  <c r="AA129" i="5"/>
  <c r="AA123" i="5"/>
  <c r="AA10" i="5"/>
  <c r="AA161" i="5"/>
  <c r="AA154" i="5"/>
  <c r="AA44" i="5"/>
  <c r="K3" i="6"/>
  <c r="AA57" i="5"/>
  <c r="AA167" i="5"/>
  <c r="AA96" i="5"/>
  <c r="AA177" i="5"/>
  <c r="AA178" i="5"/>
  <c r="AA36" i="5"/>
  <c r="AA175" i="5"/>
  <c r="AA56" i="5"/>
  <c r="AA128" i="5"/>
  <c r="AA142" i="5"/>
  <c r="AA173" i="5"/>
  <c r="AA100" i="5"/>
  <c r="AA158" i="5"/>
  <c r="AA58" i="5"/>
  <c r="AA4" i="5"/>
  <c r="AA157" i="5"/>
  <c r="AA14" i="5"/>
  <c r="AA87" i="5"/>
  <c r="AA72" i="5"/>
  <c r="AA63" i="5"/>
  <c r="AA33" i="5"/>
  <c r="AA165" i="5"/>
  <c r="AA118" i="5"/>
  <c r="AA62" i="5"/>
  <c r="AA76" i="5"/>
  <c r="AA108" i="5"/>
  <c r="AA120" i="5"/>
  <c r="AA75" i="5"/>
  <c r="AA39" i="5"/>
  <c r="AA144" i="5"/>
  <c r="AA68" i="5"/>
  <c r="AA26" i="5"/>
  <c r="AA104" i="5"/>
  <c r="AA99" i="5"/>
  <c r="AA132" i="5"/>
  <c r="AA48" i="5"/>
  <c r="AA95" i="5"/>
  <c r="AA16" i="5"/>
  <c r="AA122" i="5"/>
  <c r="AA163" i="5"/>
  <c r="AA149" i="5"/>
  <c r="AA170" i="5"/>
  <c r="AA84" i="5"/>
  <c r="AA107" i="5"/>
  <c r="AA71" i="5"/>
  <c r="AA8" i="5"/>
  <c r="AA86" i="5"/>
  <c r="AA38" i="5"/>
  <c r="AA92" i="5"/>
  <c r="AA20" i="5"/>
  <c r="AA131" i="5"/>
  <c r="AA116" i="5"/>
  <c r="AA106" i="5"/>
  <c r="AA169" i="5"/>
  <c r="AA140" i="5"/>
  <c r="AA52" i="5"/>
  <c r="AA94" i="5"/>
  <c r="AA46" i="5"/>
  <c r="AA80" i="5"/>
  <c r="AA182" i="5"/>
  <c r="AA23" i="5"/>
  <c r="AA88" i="5"/>
  <c r="AA111" i="5"/>
  <c r="AA40" i="5"/>
  <c r="AA28" i="5"/>
  <c r="AA134" i="5"/>
  <c r="AA151" i="5"/>
  <c r="AA146" i="5"/>
  <c r="N3" i="6" l="1"/>
  <c r="AB3" i="5"/>
  <c r="AC3" i="5" s="1"/>
  <c r="O3" i="6" l="1"/>
  <c r="Q3" i="6" s="1"/>
  <c r="D2" i="7" s="1"/>
  <c r="G2" i="7" s="1"/>
  <c r="P3" i="6"/>
  <c r="A2" i="7" l="1"/>
  <c r="B2" i="7" s="1"/>
  <c r="C2" i="7" s="1"/>
  <c r="H2" i="7" s="1"/>
  <c r="R3" i="6"/>
  <c r="M2" i="7" s="1"/>
  <c r="P2" i="7" s="1"/>
  <c r="J2" i="7"/>
  <c r="K2" i="7" s="1"/>
  <c r="L2" i="7" s="1"/>
  <c r="F2" i="7" l="1"/>
  <c r="O2" i="7"/>
  <c r="Q2" i="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<sst xmlns="http://schemas.openxmlformats.org/spreadsheetml/2006/main" count="138" uniqueCount="55">
  <si>
    <t>X</t>
  </si>
  <si>
    <t>Y</t>
  </si>
  <si>
    <t>p_d_em</t>
  </si>
  <si>
    <t>p_d_ex</t>
  </si>
  <si>
    <t>p_a_em</t>
  </si>
  <si>
    <t>p_a_ex</t>
  </si>
  <si>
    <t xml:space="preserve">D_em </t>
  </si>
  <si>
    <t>D_ex</t>
  </si>
  <si>
    <t>HF_d_em</t>
  </si>
  <si>
    <t>LF_d_em</t>
  </si>
  <si>
    <t xml:space="preserve">A_em </t>
  </si>
  <si>
    <t xml:space="preserve">A_ex </t>
  </si>
  <si>
    <t xml:space="preserve"> </t>
  </si>
  <si>
    <t>Sc/Rc</t>
  </si>
  <si>
    <t>Korr</t>
  </si>
  <si>
    <t>Norm_max</t>
  </si>
  <si>
    <t>Norm_int</t>
  </si>
  <si>
    <t>Norm_em</t>
  </si>
  <si>
    <t>lambda</t>
  </si>
  <si>
    <t>J(lambda)</t>
  </si>
  <si>
    <t>J</t>
  </si>
  <si>
    <t>R0</t>
  </si>
  <si>
    <t>FD(lamda(emDmax)</t>
  </si>
  <si>
    <t>FD(lamda(emAmax)</t>
  </si>
  <si>
    <t>A</t>
  </si>
  <si>
    <t>PsiA(Cy5)</t>
  </si>
  <si>
    <t>PsiD(Alexa488)</t>
  </si>
  <si>
    <t>IntFA</t>
  </si>
  <si>
    <t>IntFD</t>
  </si>
  <si>
    <t>gamma</t>
  </si>
  <si>
    <t>a(HF)</t>
  </si>
  <si>
    <t>a(LF)</t>
  </si>
  <si>
    <t>D_em*Max(HF)</t>
  </si>
  <si>
    <t>D_em*Max(LF)</t>
  </si>
  <si>
    <t>FA(lamdaexD,lamdbaem,HF)</t>
  </si>
  <si>
    <t>FA(lamdaexD,lamdbaem,LF)</t>
  </si>
  <si>
    <t>R_DA(LF)</t>
  </si>
  <si>
    <t>R_DA(HF)</t>
  </si>
  <si>
    <t>E(HF)</t>
  </si>
  <si>
    <t>E(LF)</t>
  </si>
  <si>
    <t>F_R(HF)</t>
  </si>
  <si>
    <t>F_R(LF)</t>
  </si>
  <si>
    <t>F_G(HF)</t>
  </si>
  <si>
    <t>F_G(LF)</t>
  </si>
  <si>
    <t>E_mpm(LF)</t>
  </si>
  <si>
    <t>E_mpm(HF)</t>
  </si>
  <si>
    <t>R_DA(HF,korr)</t>
  </si>
  <si>
    <t>R_DA(LF,korr)</t>
  </si>
  <si>
    <t>Abweichung korr [%]</t>
  </si>
  <si>
    <t>Abweichung korr +Lit [%]</t>
  </si>
  <si>
    <t>Abweichung Lit [%]</t>
  </si>
  <si>
    <t>R_mpm(HF,Lit)</t>
  </si>
  <si>
    <t>R_mpm(LF,Lit)</t>
  </si>
  <si>
    <t>R0(Lit)</t>
  </si>
  <si>
    <t>Abweichung 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</si>
</sst>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FF66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" fontId="0" fillId="4" borderId="0" xfId="0" applyNumberForma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right"/>
    </xf>
    <xf numFmtId="0" fontId="3" fillId="0" borderId="0" xfId="0" applyFont="1" applyAlignment="1">
      <alignment horizontal="center"/>
    </xf>
    <xf numFmtId="0" fontId="3" fillId="7" borderId="0" xfId="0" applyFont="1" applyFill="1" applyAlignment="1">
      <alignment horizontal="center"/>
    </xf>
    <xf numFmtId="0" fontId="0" fillId="7" borderId="0" xfId="0" applyFill="1"/>
    <xf numFmtId="1" fontId="0" fillId="0" borderId="0" xfId="0" applyNumberFormat="1"/>
    <xf numFmtId="0" fontId="3" fillId="3" borderId="0" xfId="0" applyFont="1" applyFill="1" applyAlignment="1">
      <alignment horizontal="center"/>
    </xf>
    <xf numFmtId="1" fontId="3" fillId="4" borderId="0" xfId="0" applyNumberFormat="1" applyFont="1" applyFill="1" applyAlignment="1">
      <alignment horizontal="center"/>
    </xf>
    <xf numFmtId="1" fontId="0" fillId="7" borderId="0" xfId="0" applyNumberFormat="1" applyFont="1" applyFill="1" applyAlignment="1">
      <alignment horizontal="center"/>
    </xf>
    <xf numFmtId="1" fontId="3" fillId="0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1" fontId="0" fillId="0" borderId="0" xfId="0" applyNumberFormat="1" applyFill="1"/>
    <xf numFmtId="0" fontId="0" fillId="7" borderId="0" xfId="0" applyFill="1" applyAlignment="1">
      <alignment horizontal="center"/>
    </xf>
    <xf numFmtId="0" fontId="3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323"/>
  <sheetViews>
    <sheetView zoomScale="80" zoomScaleNormal="80" workbookViewId="0">
      <selection activeCell="P1" sqref="P1:P1048576"/>
    </sheetView>
  </sheetViews>
  <sheetFormatPr baseColWidth="10" defaultColWidth="3.5703125" defaultRowHeight="12.75" x14ac:dyDescent="0.2"/>
  <cols>
    <col min="1" max="1" width="3.5703125" style="2" customWidth="1"/>
    <col min="2" max="2" width="7.5703125" style="2" bestFit="1" customWidth="1"/>
    <col min="3" max="3" width="10" style="2" bestFit="1" customWidth="1"/>
    <col min="4" max="4" width="3.5703125" style="2" customWidth="1"/>
    <col min="5" max="5" width="7.5703125" style="2" bestFit="1" customWidth="1"/>
    <col min="6" max="6" width="10" style="2" bestFit="1" customWidth="1"/>
    <col min="7" max="7" width="3.5703125" style="2" customWidth="1"/>
    <col min="8" max="8" width="7" style="2" bestFit="1" customWidth="1"/>
    <col min="9" max="9" width="10" style="2" bestFit="1" customWidth="1"/>
    <col min="10" max="10" width="3.5703125" style="2" customWidth="1"/>
    <col min="11" max="11" width="7" style="2" bestFit="1" customWidth="1"/>
    <col min="12" max="12" width="10" style="2" bestFit="1" customWidth="1"/>
    <col min="13" max="13" width="3.5703125" style="2" customWidth="1"/>
    <col min="14" max="14" width="3.5703125" style="6" customWidth="1"/>
    <col min="15" max="15" width="3.5703125" style="2" customWidth="1"/>
    <col min="16" max="16" width="14.5703125" style="2" bestFit="1" customWidth="1"/>
    <col min="17" max="17" width="8" style="7" bestFit="1" customWidth="1"/>
    <col min="18" max="18" width="3.42578125" style="2" customWidth="1"/>
    <col min="19" max="19" width="5.28515625" style="2" bestFit="1" customWidth="1"/>
    <col min="20" max="20" width="10" style="2" bestFit="1" customWidth="1"/>
    <col min="21" max="21" width="3.5703125" style="2" customWidth="1"/>
    <col min="22" max="22" width="7.7109375" style="2" bestFit="1" customWidth="1"/>
    <col min="23" max="23" width="10" style="2" bestFit="1" customWidth="1"/>
    <col min="24" max="24" width="3.5703125" style="2" customWidth="1"/>
    <col min="25" max="25" width="7.140625" style="2" bestFit="1" customWidth="1"/>
    <col min="26" max="26" width="10" style="2" bestFit="1" customWidth="1"/>
    <col min="27" max="27" width="3.5703125" style="2" customWidth="1"/>
    <col min="28" max="28" width="1.5703125" style="6" bestFit="1" customWidth="1"/>
    <col min="29" max="29" width="3.5703125" style="2" customWidth="1"/>
    <col min="30" max="30" width="9" style="2" bestFit="1" customWidth="1"/>
    <col min="31" max="31" width="10" style="2" bestFit="1" customWidth="1"/>
    <col min="32" max="32" width="3.5703125" style="2" customWidth="1"/>
    <col min="33" max="34" width="10" style="2" customWidth="1"/>
    <col min="35" max="35" width="3.5703125" style="2" customWidth="1"/>
    <col min="36" max="36" width="8.7109375" style="2" bestFit="1" customWidth="1"/>
    <col min="37" max="37" width="10" style="2" bestFit="1" customWidth="1"/>
    <col min="38" max="38" width="3.5703125" style="2" customWidth="1"/>
    <col min="39" max="40" width="10" style="2" customWidth="1"/>
    <col min="41" max="16384" width="3.5703125" style="2"/>
  </cols>
  <sheetData>
    <row r="1" spans="2:34" x14ac:dyDescent="0.2">
      <c r="B1" s="9" t="s">
        <v>2</v>
      </c>
      <c r="C1" s="4" t="s">
        <v>13</v>
      </c>
      <c r="E1" s="10" t="s">
        <v>4</v>
      </c>
      <c r="F1" s="3" t="s">
        <v>13</v>
      </c>
      <c r="H1" s="11" t="s">
        <v>3</v>
      </c>
      <c r="I1" s="1" t="s">
        <v>13</v>
      </c>
      <c r="K1" s="12" t="s">
        <v>5</v>
      </c>
      <c r="L1" s="5" t="s">
        <v>13</v>
      </c>
      <c r="P1" s="2" t="s">
        <v>6</v>
      </c>
      <c r="Q1" s="7" t="s">
        <v>13</v>
      </c>
      <c r="S1" s="2" t="s">
        <v>7</v>
      </c>
      <c r="T1" s="2" t="s">
        <v>13</v>
      </c>
      <c r="V1" s="2" t="s">
        <v>10</v>
      </c>
      <c r="W1" s="2" t="s">
        <v>13</v>
      </c>
      <c r="Y1" s="2" t="s">
        <v>11</v>
      </c>
      <c r="Z1" s="2" t="s">
        <v>13</v>
      </c>
      <c r="AD1" s="2" t="s">
        <v>8</v>
      </c>
      <c r="AE1" s="2" t="s">
        <v>13</v>
      </c>
      <c r="AG1" s="2" t="s">
        <v>9</v>
      </c>
      <c r="AH1" s="2" t="s">
        <v>13</v>
      </c>
    </row>
    <row r="2" spans="2:34" x14ac:dyDescent="0.2">
      <c r="B2" s="4" t="s">
        <v>0</v>
      </c>
      <c r="C2" s="4" t="s">
        <v>1</v>
      </c>
      <c r="E2" s="3" t="s">
        <v>0</v>
      </c>
      <c r="F2" s="3" t="s">
        <v>1</v>
      </c>
      <c r="H2" s="1" t="s">
        <v>0</v>
      </c>
      <c r="I2" s="1" t="s">
        <v>1</v>
      </c>
      <c r="K2" s="5" t="s">
        <v>0</v>
      </c>
      <c r="L2" s="5" t="s">
        <v>1</v>
      </c>
      <c r="P2" s="4" t="s">
        <v>0</v>
      </c>
      <c r="Q2" s="8" t="s">
        <v>1</v>
      </c>
      <c r="S2" s="1" t="s">
        <v>0</v>
      </c>
      <c r="T2" s="1" t="s">
        <v>1</v>
      </c>
      <c r="V2" s="3" t="s">
        <v>0</v>
      </c>
      <c r="W2" s="3" t="s">
        <v>1</v>
      </c>
      <c r="Y2" s="5" t="s">
        <v>0</v>
      </c>
      <c r="Z2" s="5" t="s">
        <v>1</v>
      </c>
      <c r="AD2" s="4" t="s">
        <v>0</v>
      </c>
      <c r="AE2" s="4" t="s">
        <v>1</v>
      </c>
      <c r="AF2" s="2" t="s">
        <v>12</v>
      </c>
      <c r="AG2" s="4" t="s">
        <v>0</v>
      </c>
      <c r="AH2" s="4" t="s">
        <v>1</v>
      </c>
    </row>
    <row r="3" spans="2:34" x14ac:dyDescent="0.2">
      <c r="B3" s="2">
        <v>480</v>
      </c>
      <c r="C3" s="2">
        <v>2837.9165400000002</v>
      </c>
      <c r="E3" s="2">
        <v>620</v>
      </c>
      <c r="F3" s="2">
        <v>671.35357999999997</v>
      </c>
      <c r="H3" s="2">
        <v>400</v>
      </c>
      <c r="I3" s="2">
        <v>734.21550000000002</v>
      </c>
      <c r="K3" s="2">
        <v>400</v>
      </c>
      <c r="L3" s="2">
        <v>894.09586999999999</v>
      </c>
      <c r="P3" s="2">
        <v>480</v>
      </c>
      <c r="Q3" s="7">
        <v>2868.4257400000001</v>
      </c>
      <c r="S3" s="2">
        <v>400</v>
      </c>
      <c r="T3" s="2">
        <v>3039.8656999999998</v>
      </c>
      <c r="V3" s="2">
        <v>620</v>
      </c>
      <c r="W3" s="2">
        <v>1828.6869300000001</v>
      </c>
      <c r="Y3" s="2">
        <v>400</v>
      </c>
      <c r="Z3" s="2">
        <v>1738.6592800000001</v>
      </c>
      <c r="AD3" s="2">
        <v>480</v>
      </c>
      <c r="AE3" s="2">
        <v>2742.4301099999998</v>
      </c>
      <c r="AG3" s="2">
        <v>480</v>
      </c>
      <c r="AH3" s="2">
        <v>3068.9351200000001</v>
      </c>
    </row>
    <row r="4" spans="2:34" x14ac:dyDescent="0.2">
      <c r="B4" s="2">
        <v>481</v>
      </c>
      <c r="C4" s="2">
        <v>2031.2624900000001</v>
      </c>
      <c r="E4" s="2">
        <v>621</v>
      </c>
      <c r="F4" s="2">
        <v>472.04136999999997</v>
      </c>
      <c r="H4" s="2">
        <v>401</v>
      </c>
      <c r="I4" s="2">
        <v>730.68331999999998</v>
      </c>
      <c r="K4" s="2">
        <v>401</v>
      </c>
      <c r="L4" s="2">
        <v>700.94892000000004</v>
      </c>
      <c r="P4" s="2">
        <v>481</v>
      </c>
      <c r="Q4" s="7">
        <v>2638.4417199999998</v>
      </c>
      <c r="S4" s="2">
        <v>401</v>
      </c>
      <c r="T4" s="2">
        <v>3183.8126000000002</v>
      </c>
      <c r="V4" s="2">
        <v>621</v>
      </c>
      <c r="W4" s="2">
        <v>1882.53971</v>
      </c>
      <c r="Y4" s="2">
        <v>401</v>
      </c>
      <c r="Z4" s="2">
        <v>1938.63904</v>
      </c>
      <c r="AD4" s="2">
        <v>481</v>
      </c>
      <c r="AE4" s="2">
        <v>2556.1593899999998</v>
      </c>
      <c r="AG4" s="2">
        <v>481</v>
      </c>
      <c r="AH4" s="2">
        <v>2697.80836</v>
      </c>
    </row>
    <row r="5" spans="2:34" x14ac:dyDescent="0.2">
      <c r="B5" s="2">
        <v>482</v>
      </c>
      <c r="C5" s="2">
        <v>1571.7778900000001</v>
      </c>
      <c r="E5" s="2">
        <v>622</v>
      </c>
      <c r="F5" s="2">
        <v>383.40219000000002</v>
      </c>
      <c r="H5" s="2">
        <v>402</v>
      </c>
      <c r="I5" s="2">
        <v>691.85607000000005</v>
      </c>
      <c r="K5" s="2">
        <v>402</v>
      </c>
      <c r="L5" s="2">
        <v>865.46124999999995</v>
      </c>
      <c r="P5" s="2">
        <v>482</v>
      </c>
      <c r="Q5" s="7">
        <v>2626.58221</v>
      </c>
      <c r="S5" s="2">
        <v>402</v>
      </c>
      <c r="T5" s="2">
        <v>3227.2704199999998</v>
      </c>
      <c r="V5" s="2">
        <v>622</v>
      </c>
      <c r="W5" s="2">
        <v>2067.0255099999999</v>
      </c>
      <c r="Y5" s="2">
        <v>402</v>
      </c>
      <c r="Z5" s="2">
        <v>1839.86509</v>
      </c>
      <c r="AD5" s="2">
        <v>482</v>
      </c>
      <c r="AE5" s="2">
        <v>2523.6509299999998</v>
      </c>
      <c r="AG5" s="2">
        <v>482</v>
      </c>
      <c r="AH5" s="2">
        <v>2594.6024900000002</v>
      </c>
    </row>
    <row r="6" spans="2:34" x14ac:dyDescent="0.2">
      <c r="B6" s="2">
        <v>483</v>
      </c>
      <c r="C6" s="2">
        <v>1222.1029799999999</v>
      </c>
      <c r="E6" s="2">
        <v>623</v>
      </c>
      <c r="F6" s="2">
        <v>171.19154</v>
      </c>
      <c r="H6" s="2">
        <v>403</v>
      </c>
      <c r="I6" s="2">
        <v>714.90643</v>
      </c>
      <c r="K6" s="2">
        <v>403</v>
      </c>
      <c r="L6" s="2">
        <v>764.53823</v>
      </c>
      <c r="P6" s="2">
        <v>483</v>
      </c>
      <c r="Q6" s="7">
        <v>2853.96164</v>
      </c>
      <c r="S6" s="2">
        <v>403</v>
      </c>
      <c r="T6" s="2">
        <v>3228.3149100000001</v>
      </c>
      <c r="V6" s="2">
        <v>623</v>
      </c>
      <c r="W6" s="2">
        <v>2390.78631</v>
      </c>
      <c r="Y6" s="2">
        <v>403</v>
      </c>
      <c r="Z6" s="2">
        <v>1742.4466199999999</v>
      </c>
      <c r="AD6" s="2">
        <v>483</v>
      </c>
      <c r="AE6" s="2">
        <v>2730.0812999999998</v>
      </c>
      <c r="AG6" s="2">
        <v>483</v>
      </c>
      <c r="AH6" s="2">
        <v>2862.5473999999999</v>
      </c>
    </row>
    <row r="7" spans="2:34" x14ac:dyDescent="0.2">
      <c r="B7" s="2">
        <v>484</v>
      </c>
      <c r="C7" s="2">
        <v>1012.78587</v>
      </c>
      <c r="E7" s="2">
        <v>624</v>
      </c>
      <c r="F7" s="2">
        <v>288.78330999999997</v>
      </c>
      <c r="H7" s="2">
        <v>404</v>
      </c>
      <c r="I7" s="2">
        <v>827.72497999999996</v>
      </c>
      <c r="K7" s="2">
        <v>404</v>
      </c>
      <c r="L7" s="2">
        <v>769.52755000000002</v>
      </c>
      <c r="P7" s="2">
        <v>484</v>
      </c>
      <c r="Q7" s="7">
        <v>3237.2828599999998</v>
      </c>
      <c r="S7" s="2">
        <v>404</v>
      </c>
      <c r="T7" s="2">
        <v>3380.2191800000001</v>
      </c>
      <c r="V7" s="2">
        <v>624</v>
      </c>
      <c r="W7" s="2">
        <v>2758.6792599999999</v>
      </c>
      <c r="Y7" s="2">
        <v>404</v>
      </c>
      <c r="Z7" s="2">
        <v>1719.35743</v>
      </c>
      <c r="AD7" s="2">
        <v>484</v>
      </c>
      <c r="AE7" s="2">
        <v>3127.6197699999998</v>
      </c>
      <c r="AG7" s="2">
        <v>484</v>
      </c>
      <c r="AH7" s="2">
        <v>3160.2715800000001</v>
      </c>
    </row>
    <row r="8" spans="2:34" x14ac:dyDescent="0.2">
      <c r="B8" s="2">
        <v>485</v>
      </c>
      <c r="C8" s="2">
        <v>925.49834999999996</v>
      </c>
      <c r="E8" s="2">
        <v>625</v>
      </c>
      <c r="F8" s="2">
        <v>209.78880000000001</v>
      </c>
      <c r="H8" s="2">
        <v>405</v>
      </c>
      <c r="I8" s="2">
        <v>739.47339999999997</v>
      </c>
      <c r="K8" s="2">
        <v>405</v>
      </c>
      <c r="L8" s="2">
        <v>797.49581999999998</v>
      </c>
      <c r="P8" s="2">
        <v>485</v>
      </c>
      <c r="Q8" s="7">
        <v>3737.93307</v>
      </c>
      <c r="S8" s="2">
        <v>405</v>
      </c>
      <c r="T8" s="2">
        <v>3631.9103799999998</v>
      </c>
      <c r="V8" s="2">
        <v>625</v>
      </c>
      <c r="W8" s="2">
        <v>3067.0210900000002</v>
      </c>
      <c r="Y8" s="2">
        <v>405</v>
      </c>
      <c r="Z8" s="2">
        <v>1508.0922800000001</v>
      </c>
      <c r="AD8" s="2">
        <v>485</v>
      </c>
      <c r="AE8" s="2">
        <v>3535.7993700000002</v>
      </c>
      <c r="AG8" s="2">
        <v>485</v>
      </c>
      <c r="AH8" s="2">
        <v>3498.89201</v>
      </c>
    </row>
    <row r="9" spans="2:34" x14ac:dyDescent="0.2">
      <c r="B9" s="2">
        <v>486</v>
      </c>
      <c r="C9" s="2">
        <v>773.55426999999997</v>
      </c>
      <c r="E9" s="2">
        <v>626</v>
      </c>
      <c r="F9" s="2">
        <v>209.00738999999999</v>
      </c>
      <c r="H9" s="2">
        <v>406</v>
      </c>
      <c r="I9" s="2">
        <v>652.59348999999997</v>
      </c>
      <c r="K9" s="2">
        <v>406</v>
      </c>
      <c r="L9" s="2">
        <v>868.18159000000003</v>
      </c>
      <c r="P9" s="2">
        <v>486</v>
      </c>
      <c r="Q9" s="7">
        <v>4534.5885900000003</v>
      </c>
      <c r="S9" s="2">
        <v>406</v>
      </c>
      <c r="T9" s="2">
        <v>3895.7584299999999</v>
      </c>
      <c r="V9" s="2">
        <v>626</v>
      </c>
      <c r="W9" s="2">
        <v>3598.72388</v>
      </c>
      <c r="Y9" s="2">
        <v>406</v>
      </c>
      <c r="Z9" s="2">
        <v>1474.2416900000001</v>
      </c>
      <c r="AD9" s="2">
        <v>486</v>
      </c>
      <c r="AE9" s="2">
        <v>4352.5924999999997</v>
      </c>
      <c r="AG9" s="2">
        <v>486</v>
      </c>
      <c r="AH9" s="2">
        <v>4173.6494499999999</v>
      </c>
    </row>
    <row r="10" spans="2:34" x14ac:dyDescent="0.2">
      <c r="B10" s="2">
        <v>487</v>
      </c>
      <c r="C10" s="2">
        <v>711.93718999999999</v>
      </c>
      <c r="E10" s="2">
        <v>627</v>
      </c>
      <c r="F10" s="2">
        <v>165.41504</v>
      </c>
      <c r="H10" s="2">
        <v>407</v>
      </c>
      <c r="I10" s="2">
        <v>701.3288</v>
      </c>
      <c r="K10" s="2">
        <v>407</v>
      </c>
      <c r="L10" s="2">
        <v>884.78133000000003</v>
      </c>
      <c r="P10" s="2">
        <v>487</v>
      </c>
      <c r="Q10" s="7">
        <v>5457.2076699999998</v>
      </c>
      <c r="S10" s="2">
        <v>407</v>
      </c>
      <c r="T10" s="2">
        <v>3897.73288</v>
      </c>
      <c r="V10" s="2">
        <v>627</v>
      </c>
      <c r="W10" s="2">
        <v>4169.6050999999998</v>
      </c>
      <c r="Y10" s="2">
        <v>407</v>
      </c>
      <c r="Z10" s="2">
        <v>1232.8132499999999</v>
      </c>
      <c r="AD10" s="2">
        <v>487</v>
      </c>
      <c r="AE10" s="2">
        <v>5117.7795100000003</v>
      </c>
      <c r="AG10" s="2">
        <v>487</v>
      </c>
      <c r="AH10" s="2">
        <v>4927.7527200000004</v>
      </c>
    </row>
    <row r="11" spans="2:34" x14ac:dyDescent="0.2">
      <c r="B11" s="2">
        <v>488</v>
      </c>
      <c r="C11" s="2">
        <v>699.16832999999997</v>
      </c>
      <c r="E11" s="2">
        <v>628</v>
      </c>
      <c r="F11" s="2">
        <v>187.63435999999999</v>
      </c>
      <c r="H11" s="2">
        <v>408</v>
      </c>
      <c r="I11" s="2">
        <v>755.96720000000005</v>
      </c>
      <c r="K11" s="2">
        <v>408</v>
      </c>
      <c r="L11" s="2">
        <v>697.90614000000005</v>
      </c>
      <c r="P11" s="2">
        <v>488</v>
      </c>
      <c r="Q11" s="7">
        <v>6462.4516400000002</v>
      </c>
      <c r="S11" s="2">
        <v>408</v>
      </c>
      <c r="T11" s="2">
        <v>4156.3520600000002</v>
      </c>
      <c r="V11" s="2">
        <v>628</v>
      </c>
      <c r="W11" s="2">
        <v>5160.77999</v>
      </c>
      <c r="Y11" s="2">
        <v>408</v>
      </c>
      <c r="Z11" s="2">
        <v>1568.87374</v>
      </c>
      <c r="AD11" s="2">
        <v>488</v>
      </c>
      <c r="AE11" s="2">
        <v>6177.4397300000001</v>
      </c>
      <c r="AG11" s="2">
        <v>488</v>
      </c>
      <c r="AH11" s="2">
        <v>5869.4886299999998</v>
      </c>
    </row>
    <row r="12" spans="2:34" x14ac:dyDescent="0.2">
      <c r="B12" s="2">
        <v>489</v>
      </c>
      <c r="C12" s="2">
        <v>622.46473000000003</v>
      </c>
      <c r="E12" s="2">
        <v>629</v>
      </c>
      <c r="F12" s="2">
        <v>290.02140000000003</v>
      </c>
      <c r="H12" s="2">
        <v>409</v>
      </c>
      <c r="I12" s="2">
        <v>662.82444999999996</v>
      </c>
      <c r="K12" s="2">
        <v>409</v>
      </c>
      <c r="L12" s="2">
        <v>857.55593999999996</v>
      </c>
      <c r="P12" s="2">
        <v>489</v>
      </c>
      <c r="Q12" s="7">
        <v>7899.9338799999996</v>
      </c>
      <c r="S12" s="2">
        <v>409</v>
      </c>
      <c r="T12" s="2">
        <v>4285.1991600000001</v>
      </c>
      <c r="V12" s="2">
        <v>629</v>
      </c>
      <c r="W12" s="2">
        <v>5843.4859900000001</v>
      </c>
      <c r="Y12" s="2">
        <v>409</v>
      </c>
      <c r="Z12" s="2">
        <v>1447.5823499999999</v>
      </c>
      <c r="AD12" s="2">
        <v>489</v>
      </c>
      <c r="AE12" s="2">
        <v>7256.2624500000002</v>
      </c>
      <c r="AG12" s="2">
        <v>489</v>
      </c>
      <c r="AH12" s="2">
        <v>7176.8478400000004</v>
      </c>
    </row>
    <row r="13" spans="2:34" x14ac:dyDescent="0.2">
      <c r="B13" s="2">
        <v>490</v>
      </c>
      <c r="C13" s="2">
        <v>573.88383999999996</v>
      </c>
      <c r="E13" s="2">
        <v>630</v>
      </c>
      <c r="F13" s="2">
        <v>91.252480000000006</v>
      </c>
      <c r="H13" s="2">
        <v>410</v>
      </c>
      <c r="I13" s="2">
        <v>639.66700000000003</v>
      </c>
      <c r="K13" s="2">
        <v>410</v>
      </c>
      <c r="L13" s="2">
        <v>941.36455999999998</v>
      </c>
      <c r="P13" s="2">
        <v>490</v>
      </c>
      <c r="Q13" s="7">
        <v>9538.8170699999991</v>
      </c>
      <c r="S13" s="2">
        <v>410</v>
      </c>
      <c r="T13" s="2">
        <v>4487.6090299999996</v>
      </c>
      <c r="V13" s="2">
        <v>630</v>
      </c>
      <c r="W13" s="2">
        <v>6896.8728700000001</v>
      </c>
      <c r="Y13" s="2">
        <v>410</v>
      </c>
      <c r="Z13" s="2">
        <v>1087.21801</v>
      </c>
      <c r="AD13" s="2">
        <v>490</v>
      </c>
      <c r="AE13" s="2">
        <v>8882.5542499999992</v>
      </c>
      <c r="AG13" s="2">
        <v>490</v>
      </c>
      <c r="AH13" s="2">
        <v>8574.0514700000003</v>
      </c>
    </row>
    <row r="14" spans="2:34" x14ac:dyDescent="0.2">
      <c r="B14" s="2">
        <v>491</v>
      </c>
      <c r="C14" s="2">
        <v>551.42654000000005</v>
      </c>
      <c r="E14" s="2">
        <v>631</v>
      </c>
      <c r="F14" s="2">
        <v>35.017229999999998</v>
      </c>
      <c r="H14" s="2">
        <v>411</v>
      </c>
      <c r="I14" s="2">
        <v>654.35346000000004</v>
      </c>
      <c r="K14" s="2">
        <v>411</v>
      </c>
      <c r="L14" s="2">
        <v>791.33549000000005</v>
      </c>
      <c r="P14" s="2">
        <v>491</v>
      </c>
      <c r="Q14" s="7">
        <v>11323.36652</v>
      </c>
      <c r="S14" s="2">
        <v>411</v>
      </c>
      <c r="T14" s="2">
        <v>4713.8738499999999</v>
      </c>
      <c r="V14" s="2">
        <v>631</v>
      </c>
      <c r="W14" s="2">
        <v>7875.2822500000002</v>
      </c>
      <c r="Y14" s="2">
        <v>411</v>
      </c>
      <c r="Z14" s="2">
        <v>1393.1688999999999</v>
      </c>
      <c r="AD14" s="2">
        <v>491</v>
      </c>
      <c r="AE14" s="2">
        <v>10511.577359999999</v>
      </c>
      <c r="AG14" s="2">
        <v>491</v>
      </c>
      <c r="AH14" s="2">
        <v>10079.8344</v>
      </c>
    </row>
    <row r="15" spans="2:34" x14ac:dyDescent="0.2">
      <c r="B15" s="2">
        <v>492</v>
      </c>
      <c r="C15" s="2">
        <v>523.16909999999996</v>
      </c>
      <c r="E15" s="2">
        <v>632</v>
      </c>
      <c r="F15" s="2">
        <v>119.175</v>
      </c>
      <c r="H15" s="2">
        <v>412</v>
      </c>
      <c r="I15" s="2">
        <v>681.38301999999999</v>
      </c>
      <c r="K15" s="2">
        <v>412</v>
      </c>
      <c r="L15" s="2">
        <v>637.51484000000005</v>
      </c>
      <c r="P15" s="2">
        <v>492</v>
      </c>
      <c r="Q15" s="7">
        <v>13670.17655</v>
      </c>
      <c r="S15" s="2">
        <v>412</v>
      </c>
      <c r="T15" s="2">
        <v>5031.97181</v>
      </c>
      <c r="V15" s="2">
        <v>632</v>
      </c>
      <c r="W15" s="2">
        <v>9368.3973000000005</v>
      </c>
      <c r="Y15" s="2">
        <v>412</v>
      </c>
      <c r="Z15" s="2">
        <v>1115.3155099999999</v>
      </c>
      <c r="AD15" s="2">
        <v>492</v>
      </c>
      <c r="AE15" s="2">
        <v>12624.96643</v>
      </c>
      <c r="AG15" s="2">
        <v>492</v>
      </c>
      <c r="AH15" s="2">
        <v>12101.21759</v>
      </c>
    </row>
    <row r="16" spans="2:34" x14ac:dyDescent="0.2">
      <c r="B16" s="2">
        <v>493</v>
      </c>
      <c r="C16" s="2">
        <v>496.66561000000002</v>
      </c>
      <c r="E16" s="2">
        <v>633</v>
      </c>
      <c r="F16" s="2">
        <v>129.19242</v>
      </c>
      <c r="H16" s="2">
        <v>413</v>
      </c>
      <c r="I16" s="2">
        <v>625.79323999999997</v>
      </c>
      <c r="K16" s="2">
        <v>413</v>
      </c>
      <c r="L16" s="2">
        <v>708.64889000000005</v>
      </c>
      <c r="P16" s="2">
        <v>493</v>
      </c>
      <c r="Q16" s="7">
        <v>16207.55825</v>
      </c>
      <c r="S16" s="2">
        <v>413</v>
      </c>
      <c r="T16" s="2">
        <v>5258.5292799999997</v>
      </c>
      <c r="V16" s="2">
        <v>633</v>
      </c>
      <c r="W16" s="2">
        <v>10722.542880000001</v>
      </c>
      <c r="Y16" s="2">
        <v>413</v>
      </c>
      <c r="Z16" s="2">
        <v>1032.68993</v>
      </c>
      <c r="AD16" s="2">
        <v>493</v>
      </c>
      <c r="AE16" s="2">
        <v>15158.559569999999</v>
      </c>
      <c r="AG16" s="2">
        <v>493</v>
      </c>
      <c r="AH16" s="2">
        <v>14399.611860000001</v>
      </c>
    </row>
    <row r="17" spans="2:34" x14ac:dyDescent="0.2">
      <c r="B17" s="2">
        <v>494</v>
      </c>
      <c r="C17" s="2">
        <v>476.20321999999999</v>
      </c>
      <c r="E17" s="2">
        <v>634</v>
      </c>
      <c r="F17" s="2">
        <v>10.740159999999999</v>
      </c>
      <c r="H17" s="2">
        <v>414</v>
      </c>
      <c r="I17" s="2">
        <v>623.20618999999999</v>
      </c>
      <c r="K17" s="2">
        <v>414</v>
      </c>
      <c r="L17" s="2">
        <v>638.84699999999998</v>
      </c>
      <c r="P17" s="2">
        <v>494</v>
      </c>
      <c r="Q17" s="7">
        <v>19300.919170000001</v>
      </c>
      <c r="S17" s="2">
        <v>414</v>
      </c>
      <c r="T17" s="2">
        <v>5687.6893899999995</v>
      </c>
      <c r="V17" s="2">
        <v>634</v>
      </c>
      <c r="W17" s="2">
        <v>12935.918960000001</v>
      </c>
      <c r="Y17" s="2">
        <v>414</v>
      </c>
      <c r="Z17" s="2">
        <v>1071.07404</v>
      </c>
      <c r="AD17" s="2">
        <v>494</v>
      </c>
      <c r="AE17" s="2">
        <v>17914.846669999999</v>
      </c>
      <c r="AG17" s="2">
        <v>494</v>
      </c>
      <c r="AH17" s="2">
        <v>17142.316569999999</v>
      </c>
    </row>
    <row r="18" spans="2:34" x14ac:dyDescent="0.2">
      <c r="B18" s="2">
        <v>495</v>
      </c>
      <c r="C18" s="2">
        <v>442.65149000000002</v>
      </c>
      <c r="E18" s="2">
        <v>635</v>
      </c>
      <c r="F18" s="2">
        <v>84.926969999999997</v>
      </c>
      <c r="H18" s="2">
        <v>415</v>
      </c>
      <c r="I18" s="2">
        <v>636.98298</v>
      </c>
      <c r="K18" s="2">
        <v>415</v>
      </c>
      <c r="L18" s="2">
        <v>527.19833000000006</v>
      </c>
      <c r="P18" s="2">
        <v>495</v>
      </c>
      <c r="Q18" s="7">
        <v>23019.156210000001</v>
      </c>
      <c r="S18" s="2">
        <v>415</v>
      </c>
      <c r="T18" s="2">
        <v>5959.8836799999999</v>
      </c>
      <c r="V18" s="2">
        <v>635</v>
      </c>
      <c r="W18" s="2">
        <v>14990.43123</v>
      </c>
      <c r="Y18" s="2">
        <v>415</v>
      </c>
      <c r="Z18" s="2">
        <v>851.65255000000002</v>
      </c>
      <c r="AD18" s="2">
        <v>495</v>
      </c>
      <c r="AE18" s="2">
        <v>20857.590230000002</v>
      </c>
      <c r="AG18" s="2">
        <v>495</v>
      </c>
      <c r="AH18" s="2">
        <v>20199.94699</v>
      </c>
    </row>
    <row r="19" spans="2:34" x14ac:dyDescent="0.2">
      <c r="B19" s="2">
        <v>496</v>
      </c>
      <c r="C19" s="2">
        <v>455.82094999999998</v>
      </c>
      <c r="E19" s="2">
        <v>636</v>
      </c>
      <c r="F19" s="2">
        <v>121.05056999999999</v>
      </c>
      <c r="H19" s="2">
        <v>416</v>
      </c>
      <c r="I19" s="2">
        <v>592.71969999999999</v>
      </c>
      <c r="K19" s="2">
        <v>416</v>
      </c>
      <c r="L19" s="2">
        <v>508.77591999999999</v>
      </c>
      <c r="P19" s="2">
        <v>496</v>
      </c>
      <c r="Q19" s="7">
        <v>26523.659650000001</v>
      </c>
      <c r="S19" s="2">
        <v>416</v>
      </c>
      <c r="T19" s="2">
        <v>6747.3161</v>
      </c>
      <c r="V19" s="2">
        <v>636</v>
      </c>
      <c r="W19" s="2">
        <v>17102.326359999999</v>
      </c>
      <c r="Y19" s="2">
        <v>416</v>
      </c>
      <c r="Z19" s="2">
        <v>954.91801999999996</v>
      </c>
      <c r="AD19" s="2">
        <v>496</v>
      </c>
      <c r="AE19" s="2">
        <v>24661.066289999999</v>
      </c>
      <c r="AG19" s="2">
        <v>496</v>
      </c>
      <c r="AH19" s="2">
        <v>23962.086960000001</v>
      </c>
    </row>
    <row r="20" spans="2:34" x14ac:dyDescent="0.2">
      <c r="B20" s="2">
        <v>497</v>
      </c>
      <c r="C20" s="2">
        <v>434.59649000000002</v>
      </c>
      <c r="E20" s="2">
        <v>637</v>
      </c>
      <c r="F20" s="2">
        <v>28.907889999999998</v>
      </c>
      <c r="H20" s="2">
        <v>417</v>
      </c>
      <c r="I20" s="2">
        <v>667.59009000000003</v>
      </c>
      <c r="K20" s="2">
        <v>417</v>
      </c>
      <c r="L20" s="2">
        <v>774.22194000000002</v>
      </c>
      <c r="P20" s="2">
        <v>497</v>
      </c>
      <c r="Q20" s="7">
        <v>31056.000619999999</v>
      </c>
      <c r="S20" s="2">
        <v>417</v>
      </c>
      <c r="T20" s="2">
        <v>7219.82665</v>
      </c>
      <c r="V20" s="2">
        <v>637</v>
      </c>
      <c r="W20" s="2">
        <v>20258.44744</v>
      </c>
      <c r="Y20" s="2">
        <v>417</v>
      </c>
      <c r="Z20" s="2">
        <v>904.74865999999997</v>
      </c>
      <c r="AD20" s="2">
        <v>497</v>
      </c>
      <c r="AE20" s="2">
        <v>28489.06351</v>
      </c>
      <c r="AG20" s="2">
        <v>497</v>
      </c>
      <c r="AH20" s="2">
        <v>27630.653539999999</v>
      </c>
    </row>
    <row r="21" spans="2:34" x14ac:dyDescent="0.2">
      <c r="B21" s="2">
        <v>498</v>
      </c>
      <c r="C21" s="2">
        <v>392.86802</v>
      </c>
      <c r="E21" s="2">
        <v>638</v>
      </c>
      <c r="F21" s="2">
        <v>155.28475</v>
      </c>
      <c r="H21" s="2">
        <v>418</v>
      </c>
      <c r="I21" s="2">
        <v>671.64562999999998</v>
      </c>
      <c r="K21" s="2">
        <v>418</v>
      </c>
      <c r="L21" s="2">
        <v>960.10787000000005</v>
      </c>
      <c r="P21" s="2">
        <v>498</v>
      </c>
      <c r="Q21" s="7">
        <v>35755.755570000001</v>
      </c>
      <c r="S21" s="2">
        <v>418</v>
      </c>
      <c r="T21" s="2">
        <v>7538.7282999999998</v>
      </c>
      <c r="V21" s="2">
        <v>638</v>
      </c>
      <c r="W21" s="2">
        <v>22930.39255</v>
      </c>
      <c r="Y21" s="2">
        <v>418</v>
      </c>
      <c r="Z21" s="2">
        <v>963.30222000000003</v>
      </c>
      <c r="AD21" s="2">
        <v>498</v>
      </c>
      <c r="AE21" s="2">
        <v>32785.277499999997</v>
      </c>
      <c r="AG21" s="2">
        <v>498</v>
      </c>
      <c r="AH21" s="2">
        <v>31634.989519999999</v>
      </c>
    </row>
    <row r="22" spans="2:34" x14ac:dyDescent="0.2">
      <c r="B22" s="2">
        <v>499</v>
      </c>
      <c r="C22" s="2">
        <v>412.37358999999998</v>
      </c>
      <c r="E22" s="2">
        <v>639</v>
      </c>
      <c r="F22" s="2">
        <v>239.06097</v>
      </c>
      <c r="H22" s="2">
        <v>419</v>
      </c>
      <c r="I22" s="2">
        <v>610.30075999999997</v>
      </c>
      <c r="K22" s="2">
        <v>419</v>
      </c>
      <c r="L22" s="2">
        <v>977.72572000000002</v>
      </c>
      <c r="P22" s="2">
        <v>499</v>
      </c>
      <c r="Q22" s="7">
        <v>40853.73558</v>
      </c>
      <c r="S22" s="2">
        <v>419</v>
      </c>
      <c r="T22" s="2">
        <v>7811.4328100000002</v>
      </c>
      <c r="V22" s="2">
        <v>639</v>
      </c>
      <c r="W22" s="2">
        <v>25723.690040000001</v>
      </c>
      <c r="Y22" s="2">
        <v>419</v>
      </c>
      <c r="Z22" s="2">
        <v>1053.04294</v>
      </c>
      <c r="AD22" s="2">
        <v>499</v>
      </c>
      <c r="AE22" s="2">
        <v>37495.911549999997</v>
      </c>
      <c r="AG22" s="2">
        <v>499</v>
      </c>
      <c r="AH22" s="2">
        <v>35958.844920000003</v>
      </c>
    </row>
    <row r="23" spans="2:34" x14ac:dyDescent="0.2">
      <c r="B23" s="2">
        <v>500</v>
      </c>
      <c r="C23" s="2">
        <v>393.85786999999999</v>
      </c>
      <c r="E23" s="2">
        <v>640</v>
      </c>
      <c r="F23" s="2">
        <v>236.93366</v>
      </c>
      <c r="H23" s="2">
        <v>420</v>
      </c>
      <c r="I23" s="2">
        <v>585.56276000000003</v>
      </c>
      <c r="K23" s="2">
        <v>420</v>
      </c>
      <c r="L23" s="2">
        <v>422.54617000000002</v>
      </c>
      <c r="P23" s="2">
        <v>500</v>
      </c>
      <c r="Q23" s="7">
        <v>46279.376850000001</v>
      </c>
      <c r="S23" s="2">
        <v>420</v>
      </c>
      <c r="T23" s="2">
        <v>8024.7043299999996</v>
      </c>
      <c r="V23" s="2">
        <v>640</v>
      </c>
      <c r="W23" s="2">
        <v>30481.09937</v>
      </c>
      <c r="Y23" s="2">
        <v>420</v>
      </c>
      <c r="Z23" s="2">
        <v>909.69086000000004</v>
      </c>
      <c r="AD23" s="2">
        <v>500</v>
      </c>
      <c r="AE23" s="2">
        <v>42449.251129999997</v>
      </c>
      <c r="AG23" s="2">
        <v>500</v>
      </c>
      <c r="AH23" s="2">
        <v>41177.845090000003</v>
      </c>
    </row>
    <row r="24" spans="2:34" x14ac:dyDescent="0.2">
      <c r="B24" s="2">
        <v>501</v>
      </c>
      <c r="C24" s="2">
        <v>365.67869999999999</v>
      </c>
      <c r="E24" s="2">
        <v>641</v>
      </c>
      <c r="F24" s="2">
        <v>-30.261800000000001</v>
      </c>
      <c r="H24" s="2">
        <v>421</v>
      </c>
      <c r="I24" s="2">
        <v>567.31595000000004</v>
      </c>
      <c r="K24" s="2">
        <v>421</v>
      </c>
      <c r="L24" s="2">
        <v>889.40718000000004</v>
      </c>
      <c r="P24" s="2">
        <v>501</v>
      </c>
      <c r="Q24" s="7">
        <v>52330.749369999998</v>
      </c>
      <c r="S24" s="2">
        <v>421</v>
      </c>
      <c r="T24" s="2">
        <v>8893.2717499999999</v>
      </c>
      <c r="V24" s="2">
        <v>641</v>
      </c>
      <c r="W24" s="2">
        <v>34511.735159999997</v>
      </c>
      <c r="Y24" s="2">
        <v>421</v>
      </c>
      <c r="Z24" s="2">
        <v>591.91395999999997</v>
      </c>
      <c r="AD24" s="2">
        <v>501</v>
      </c>
      <c r="AE24" s="2">
        <v>47357.803910000002</v>
      </c>
      <c r="AG24" s="2">
        <v>501</v>
      </c>
      <c r="AH24" s="2">
        <v>45950.76857</v>
      </c>
    </row>
    <row r="25" spans="2:34" x14ac:dyDescent="0.2">
      <c r="B25" s="2">
        <v>502</v>
      </c>
      <c r="C25" s="2">
        <v>377.12759999999997</v>
      </c>
      <c r="E25" s="2">
        <v>642</v>
      </c>
      <c r="F25" s="2">
        <v>190.42777000000001</v>
      </c>
      <c r="H25" s="2">
        <v>422</v>
      </c>
      <c r="I25" s="2">
        <v>574.39103999999998</v>
      </c>
      <c r="K25" s="2">
        <v>422</v>
      </c>
      <c r="L25" s="2">
        <v>434.68015000000003</v>
      </c>
      <c r="P25" s="2">
        <v>502</v>
      </c>
      <c r="Q25" s="7">
        <v>58236.446889999999</v>
      </c>
      <c r="S25" s="2">
        <v>422</v>
      </c>
      <c r="T25" s="2">
        <v>9659.7824400000009</v>
      </c>
      <c r="V25" s="2">
        <v>642</v>
      </c>
      <c r="W25" s="2">
        <v>38089.497300000003</v>
      </c>
      <c r="Y25" s="2">
        <v>422</v>
      </c>
      <c r="Z25" s="2">
        <v>940.92138999999997</v>
      </c>
      <c r="AD25" s="2">
        <v>502</v>
      </c>
      <c r="AE25" s="2">
        <v>53067.483489999999</v>
      </c>
      <c r="AG25" s="2">
        <v>502</v>
      </c>
      <c r="AH25" s="2">
        <v>51292.247600000002</v>
      </c>
    </row>
    <row r="26" spans="2:34" x14ac:dyDescent="0.2">
      <c r="B26" s="2">
        <v>503</v>
      </c>
      <c r="C26" s="2">
        <v>349.73687000000001</v>
      </c>
      <c r="E26" s="2">
        <v>643</v>
      </c>
      <c r="F26" s="2">
        <v>197.11661000000001</v>
      </c>
      <c r="H26" s="2">
        <v>423</v>
      </c>
      <c r="I26" s="2">
        <v>549.84307000000001</v>
      </c>
      <c r="K26" s="2">
        <v>423</v>
      </c>
      <c r="L26" s="2">
        <v>565.38355000000001</v>
      </c>
      <c r="P26" s="2">
        <v>503</v>
      </c>
      <c r="Q26" s="7">
        <v>64305.446150000003</v>
      </c>
      <c r="S26" s="2">
        <v>423</v>
      </c>
      <c r="T26" s="2">
        <v>10034.533799999999</v>
      </c>
      <c r="V26" s="2">
        <v>643</v>
      </c>
      <c r="W26" s="2">
        <v>43096.023650000003</v>
      </c>
      <c r="Y26" s="2">
        <v>423</v>
      </c>
      <c r="Z26" s="2">
        <v>752.43771000000004</v>
      </c>
      <c r="AD26" s="2">
        <v>503</v>
      </c>
      <c r="AE26" s="2">
        <v>58484.203710000002</v>
      </c>
      <c r="AG26" s="2">
        <v>503</v>
      </c>
      <c r="AH26" s="2">
        <v>56766.498970000001</v>
      </c>
    </row>
    <row r="27" spans="2:34" x14ac:dyDescent="0.2">
      <c r="B27" s="2">
        <v>504</v>
      </c>
      <c r="C27" s="2">
        <v>364.20058</v>
      </c>
      <c r="E27" s="2">
        <v>644</v>
      </c>
      <c r="F27" s="2">
        <v>256.77519999999998</v>
      </c>
      <c r="H27" s="2">
        <v>424</v>
      </c>
      <c r="I27" s="2">
        <v>554.32443999999998</v>
      </c>
      <c r="K27" s="2">
        <v>424</v>
      </c>
      <c r="L27" s="2">
        <v>816.80023000000006</v>
      </c>
      <c r="P27" s="2">
        <v>504</v>
      </c>
      <c r="Q27" s="7">
        <v>70985.170889999994</v>
      </c>
      <c r="S27" s="2">
        <v>424</v>
      </c>
      <c r="T27" s="2">
        <v>10725.373460000001</v>
      </c>
      <c r="V27" s="2">
        <v>644</v>
      </c>
      <c r="W27" s="2">
        <v>48441.449690000001</v>
      </c>
      <c r="Y27" s="2">
        <v>424</v>
      </c>
      <c r="Z27" s="2">
        <v>821.48734000000002</v>
      </c>
      <c r="AD27" s="2">
        <v>504</v>
      </c>
      <c r="AE27" s="2">
        <v>63668.024810000003</v>
      </c>
      <c r="AG27" s="2">
        <v>504</v>
      </c>
      <c r="AH27" s="2">
        <v>62211.250319999999</v>
      </c>
    </row>
    <row r="28" spans="2:34" x14ac:dyDescent="0.2">
      <c r="B28" s="2">
        <v>505</v>
      </c>
      <c r="C28" s="2">
        <v>338.71861999999999</v>
      </c>
      <c r="E28" s="2">
        <v>645</v>
      </c>
      <c r="F28" s="2">
        <v>118.71404</v>
      </c>
      <c r="H28" s="2">
        <v>425</v>
      </c>
      <c r="I28" s="2">
        <v>542.56795</v>
      </c>
      <c r="K28" s="2">
        <v>425</v>
      </c>
      <c r="L28" s="2">
        <v>786.30457999999999</v>
      </c>
      <c r="P28" s="2">
        <v>505</v>
      </c>
      <c r="Q28" s="7">
        <v>77427.871870000003</v>
      </c>
      <c r="S28" s="2">
        <v>425</v>
      </c>
      <c r="T28" s="2">
        <v>11731.60435</v>
      </c>
      <c r="V28" s="2">
        <v>645</v>
      </c>
      <c r="W28" s="2">
        <v>53842.634910000001</v>
      </c>
      <c r="Y28" s="2">
        <v>425</v>
      </c>
      <c r="Z28" s="2">
        <v>739.09371999999996</v>
      </c>
      <c r="AD28" s="2">
        <v>505</v>
      </c>
      <c r="AE28" s="2">
        <v>69957.439629999993</v>
      </c>
      <c r="AG28" s="2">
        <v>505</v>
      </c>
      <c r="AH28" s="2">
        <v>67617.553169999999</v>
      </c>
    </row>
    <row r="29" spans="2:34" x14ac:dyDescent="0.2">
      <c r="B29" s="2">
        <v>506</v>
      </c>
      <c r="C29" s="2">
        <v>346.34778</v>
      </c>
      <c r="E29" s="2">
        <v>646</v>
      </c>
      <c r="F29" s="2">
        <v>124.96726</v>
      </c>
      <c r="H29" s="2">
        <v>426</v>
      </c>
      <c r="I29" s="2">
        <v>559.47505000000001</v>
      </c>
      <c r="K29" s="2">
        <v>426</v>
      </c>
      <c r="L29" s="2">
        <v>674.03746000000001</v>
      </c>
      <c r="P29" s="2">
        <v>506</v>
      </c>
      <c r="Q29" s="7">
        <v>83422.211989999996</v>
      </c>
      <c r="S29" s="2">
        <v>426</v>
      </c>
      <c r="T29" s="2">
        <v>12250.7719</v>
      </c>
      <c r="V29" s="2">
        <v>646</v>
      </c>
      <c r="W29" s="2">
        <v>59538.810469999997</v>
      </c>
      <c r="Y29" s="2">
        <v>426</v>
      </c>
      <c r="Z29" s="2">
        <v>665.50651000000005</v>
      </c>
      <c r="AD29" s="2">
        <v>506</v>
      </c>
      <c r="AE29" s="2">
        <v>75690.712969999993</v>
      </c>
      <c r="AG29" s="2">
        <v>506</v>
      </c>
      <c r="AH29" s="2">
        <v>73135.093519999995</v>
      </c>
    </row>
    <row r="30" spans="2:34" x14ac:dyDescent="0.2">
      <c r="B30" s="2">
        <v>507</v>
      </c>
      <c r="C30" s="2">
        <v>368.38663000000003</v>
      </c>
      <c r="E30" s="2">
        <v>647</v>
      </c>
      <c r="F30" s="2">
        <v>121.21579</v>
      </c>
      <c r="H30" s="2">
        <v>427</v>
      </c>
      <c r="I30" s="2">
        <v>507.30970000000002</v>
      </c>
      <c r="K30" s="2">
        <v>427</v>
      </c>
      <c r="L30" s="2">
        <v>568.24512000000004</v>
      </c>
      <c r="P30" s="2">
        <v>507</v>
      </c>
      <c r="Q30" s="7">
        <v>88808.691699999996</v>
      </c>
      <c r="S30" s="2">
        <v>427</v>
      </c>
      <c r="T30" s="2">
        <v>13072.86795</v>
      </c>
      <c r="V30" s="2">
        <v>647</v>
      </c>
      <c r="W30" s="2">
        <v>63828.908219999998</v>
      </c>
      <c r="Y30" s="2">
        <v>427</v>
      </c>
      <c r="Z30" s="2">
        <v>643.66403000000003</v>
      </c>
      <c r="AD30" s="2">
        <v>507</v>
      </c>
      <c r="AE30" s="2">
        <v>80548.271649999995</v>
      </c>
      <c r="AG30" s="2">
        <v>507</v>
      </c>
      <c r="AH30" s="2">
        <v>78077.948709999997</v>
      </c>
    </row>
    <row r="31" spans="2:34" x14ac:dyDescent="0.2">
      <c r="B31" s="2">
        <v>508</v>
      </c>
      <c r="C31" s="2">
        <v>350.35743000000002</v>
      </c>
      <c r="E31" s="2">
        <v>648</v>
      </c>
      <c r="F31" s="2">
        <v>172.45574999999999</v>
      </c>
      <c r="H31" s="2">
        <v>428</v>
      </c>
      <c r="I31" s="2">
        <v>524.37720999999999</v>
      </c>
      <c r="K31" s="2">
        <v>428</v>
      </c>
      <c r="L31" s="2">
        <v>650.96261000000004</v>
      </c>
      <c r="P31" s="2">
        <v>508</v>
      </c>
      <c r="Q31" s="7">
        <v>95209.686619999993</v>
      </c>
      <c r="S31" s="2">
        <v>428</v>
      </c>
      <c r="T31" s="2">
        <v>13977.47694</v>
      </c>
      <c r="V31" s="2">
        <v>648</v>
      </c>
      <c r="W31" s="2">
        <v>69980.639760000005</v>
      </c>
      <c r="Y31" s="2">
        <v>428</v>
      </c>
      <c r="Z31" s="2">
        <v>569.64527999999996</v>
      </c>
      <c r="AD31" s="2">
        <v>508</v>
      </c>
      <c r="AE31" s="2">
        <v>84930.207509999993</v>
      </c>
      <c r="AG31" s="2">
        <v>508</v>
      </c>
      <c r="AH31" s="2">
        <v>82454.784499999994</v>
      </c>
    </row>
    <row r="32" spans="2:34" x14ac:dyDescent="0.2">
      <c r="B32" s="2">
        <v>509</v>
      </c>
      <c r="C32" s="2">
        <v>329.99734999999998</v>
      </c>
      <c r="E32" s="2">
        <v>649</v>
      </c>
      <c r="F32" s="2">
        <v>239.90286</v>
      </c>
      <c r="H32" s="2">
        <v>429</v>
      </c>
      <c r="I32" s="2">
        <v>612.80610000000001</v>
      </c>
      <c r="K32" s="2">
        <v>429</v>
      </c>
      <c r="L32" s="2">
        <v>529.57646999999997</v>
      </c>
      <c r="P32" s="2">
        <v>509</v>
      </c>
      <c r="Q32" s="7">
        <v>100373.29008999999</v>
      </c>
      <c r="S32" s="2">
        <v>429</v>
      </c>
      <c r="T32" s="2">
        <v>14738.222100000001</v>
      </c>
      <c r="V32" s="2">
        <v>649</v>
      </c>
      <c r="W32" s="2">
        <v>77962.886629999994</v>
      </c>
      <c r="Y32" s="2">
        <v>429</v>
      </c>
      <c r="Z32" s="2">
        <v>824.71999000000005</v>
      </c>
      <c r="AD32" s="2">
        <v>509</v>
      </c>
      <c r="AE32" s="2">
        <v>89006.712400000004</v>
      </c>
      <c r="AG32" s="2">
        <v>509</v>
      </c>
      <c r="AH32" s="2">
        <v>86762.315749999994</v>
      </c>
    </row>
    <row r="33" spans="2:34" x14ac:dyDescent="0.2">
      <c r="B33" s="2">
        <v>510</v>
      </c>
      <c r="C33" s="2">
        <v>341.14945</v>
      </c>
      <c r="E33" s="2">
        <v>650</v>
      </c>
      <c r="F33" s="2">
        <v>130.04848000000001</v>
      </c>
      <c r="H33" s="2">
        <v>430</v>
      </c>
      <c r="I33" s="2">
        <v>502.71442000000002</v>
      </c>
      <c r="K33" s="2">
        <v>430</v>
      </c>
      <c r="L33" s="2">
        <v>659.04843000000005</v>
      </c>
      <c r="P33" s="2">
        <v>510</v>
      </c>
      <c r="Q33" s="7">
        <v>105347.58822000001</v>
      </c>
      <c r="S33" s="2">
        <v>430</v>
      </c>
      <c r="T33" s="2">
        <v>15500.820949999999</v>
      </c>
      <c r="V33" s="2">
        <v>650</v>
      </c>
      <c r="W33" s="2">
        <v>84143.561400000006</v>
      </c>
      <c r="Y33" s="2">
        <v>430</v>
      </c>
      <c r="Z33" s="2">
        <v>780.38975000000005</v>
      </c>
      <c r="AD33" s="2">
        <v>510</v>
      </c>
      <c r="AE33" s="2">
        <v>93302.798890000005</v>
      </c>
      <c r="AG33" s="2">
        <v>510</v>
      </c>
      <c r="AH33" s="2">
        <v>90007.414569999994</v>
      </c>
    </row>
    <row r="34" spans="2:34" x14ac:dyDescent="0.2">
      <c r="B34" s="2">
        <v>511</v>
      </c>
      <c r="C34" s="2">
        <v>344.20301999999998</v>
      </c>
      <c r="E34" s="2">
        <v>651</v>
      </c>
      <c r="F34" s="2">
        <v>-12.892910000000001</v>
      </c>
      <c r="H34" s="2">
        <v>431</v>
      </c>
      <c r="I34" s="2">
        <v>532.47315000000003</v>
      </c>
      <c r="K34" s="2">
        <v>431</v>
      </c>
      <c r="L34" s="2">
        <v>734.60986000000003</v>
      </c>
      <c r="P34" s="2">
        <v>511</v>
      </c>
      <c r="Q34" s="7">
        <v>109405.80693000001</v>
      </c>
      <c r="S34" s="2">
        <v>431</v>
      </c>
      <c r="T34" s="2">
        <v>16812.809219999999</v>
      </c>
      <c r="V34" s="2">
        <v>651</v>
      </c>
      <c r="W34" s="2">
        <v>90550.474650000004</v>
      </c>
      <c r="Y34" s="2">
        <v>431</v>
      </c>
      <c r="Z34" s="2">
        <v>741.35245999999995</v>
      </c>
      <c r="AD34" s="2">
        <v>511</v>
      </c>
      <c r="AE34" s="2">
        <v>96300.492110000007</v>
      </c>
      <c r="AG34" s="2">
        <v>511</v>
      </c>
      <c r="AH34" s="2">
        <v>93047.225640000004</v>
      </c>
    </row>
    <row r="35" spans="2:34" x14ac:dyDescent="0.2">
      <c r="B35" s="2">
        <v>512</v>
      </c>
      <c r="C35" s="2">
        <v>343.10681</v>
      </c>
      <c r="E35" s="2">
        <v>652</v>
      </c>
      <c r="F35" s="2">
        <v>137.97141999999999</v>
      </c>
      <c r="H35" s="2">
        <v>432</v>
      </c>
      <c r="I35" s="2">
        <v>516.66731000000004</v>
      </c>
      <c r="K35" s="2">
        <v>432</v>
      </c>
      <c r="L35" s="2">
        <v>779.40075000000002</v>
      </c>
      <c r="P35" s="2">
        <v>512</v>
      </c>
      <c r="Q35" s="7">
        <v>112866.54429999999</v>
      </c>
      <c r="S35" s="2">
        <v>432</v>
      </c>
      <c r="T35" s="2">
        <v>17715.786629999999</v>
      </c>
      <c r="V35" s="2">
        <v>652</v>
      </c>
      <c r="W35" s="2">
        <v>97192.035189999995</v>
      </c>
      <c r="Y35" s="2">
        <v>432</v>
      </c>
      <c r="Z35" s="2">
        <v>776.23879999999997</v>
      </c>
      <c r="AD35" s="2">
        <v>512</v>
      </c>
      <c r="AE35" s="2">
        <v>98925.645730000004</v>
      </c>
      <c r="AG35" s="2">
        <v>512</v>
      </c>
      <c r="AH35" s="2">
        <v>96275.720109999995</v>
      </c>
    </row>
    <row r="36" spans="2:34" x14ac:dyDescent="0.2">
      <c r="B36" s="2">
        <v>513</v>
      </c>
      <c r="C36" s="2">
        <v>347.49470000000002</v>
      </c>
      <c r="E36" s="2">
        <v>653</v>
      </c>
      <c r="F36" s="2">
        <v>92.241050000000001</v>
      </c>
      <c r="H36" s="2">
        <v>433</v>
      </c>
      <c r="I36" s="2">
        <v>469.35512999999997</v>
      </c>
      <c r="K36" s="2">
        <v>433</v>
      </c>
      <c r="L36" s="2">
        <v>482.01364999999998</v>
      </c>
      <c r="P36" s="2">
        <v>513</v>
      </c>
      <c r="Q36" s="7">
        <v>115228.10830000001</v>
      </c>
      <c r="S36" s="2">
        <v>433</v>
      </c>
      <c r="T36" s="2">
        <v>18694.78384</v>
      </c>
      <c r="V36" s="2">
        <v>653</v>
      </c>
      <c r="W36" s="2">
        <v>103235.60754</v>
      </c>
      <c r="Y36" s="2">
        <v>433</v>
      </c>
      <c r="Z36" s="2">
        <v>797.32309999999995</v>
      </c>
      <c r="AD36" s="2">
        <v>513</v>
      </c>
      <c r="AE36" s="2">
        <v>100845.26188000001</v>
      </c>
      <c r="AG36" s="2">
        <v>513</v>
      </c>
      <c r="AH36" s="2">
        <v>97592.904089999996</v>
      </c>
    </row>
    <row r="37" spans="2:34" x14ac:dyDescent="0.2">
      <c r="B37" s="2">
        <v>514</v>
      </c>
      <c r="C37" s="2">
        <v>378.65782999999999</v>
      </c>
      <c r="E37" s="2">
        <v>654</v>
      </c>
      <c r="F37" s="2">
        <v>135.61995999999999</v>
      </c>
      <c r="H37" s="2">
        <v>434</v>
      </c>
      <c r="I37" s="2">
        <v>494.44900999999999</v>
      </c>
      <c r="K37" s="2">
        <v>434</v>
      </c>
      <c r="L37" s="2">
        <v>831.23298999999997</v>
      </c>
      <c r="P37" s="2">
        <v>514</v>
      </c>
      <c r="Q37" s="7">
        <v>117499.29429000001</v>
      </c>
      <c r="S37" s="2">
        <v>434</v>
      </c>
      <c r="T37" s="2">
        <v>19686.049579999999</v>
      </c>
      <c r="V37" s="2">
        <v>654</v>
      </c>
      <c r="W37" s="2">
        <v>109237.55495000001</v>
      </c>
      <c r="Y37" s="2">
        <v>434</v>
      </c>
      <c r="Z37" s="2">
        <v>776.95231999999999</v>
      </c>
      <c r="AD37" s="2">
        <v>514</v>
      </c>
      <c r="AE37" s="2">
        <v>102562.13355</v>
      </c>
      <c r="AG37" s="2">
        <v>514</v>
      </c>
      <c r="AH37" s="2">
        <v>98683.822740000003</v>
      </c>
    </row>
    <row r="38" spans="2:34" x14ac:dyDescent="0.2">
      <c r="B38" s="2">
        <v>515</v>
      </c>
      <c r="C38" s="2">
        <v>396.85626999999999</v>
      </c>
      <c r="E38" s="2">
        <v>655</v>
      </c>
      <c r="F38" s="2">
        <v>163.98817</v>
      </c>
      <c r="H38" s="2">
        <v>435</v>
      </c>
      <c r="I38" s="2">
        <v>559.19577000000004</v>
      </c>
      <c r="K38" s="2">
        <v>435</v>
      </c>
      <c r="L38" s="2">
        <v>605.87702000000002</v>
      </c>
      <c r="P38" s="2">
        <v>515</v>
      </c>
      <c r="Q38" s="7">
        <v>119561.24404000001</v>
      </c>
      <c r="S38" s="2">
        <v>435</v>
      </c>
      <c r="T38" s="2">
        <v>20729.325509999999</v>
      </c>
      <c r="V38" s="2">
        <v>655</v>
      </c>
      <c r="W38" s="2">
        <v>113137.66329</v>
      </c>
      <c r="Y38" s="2">
        <v>435</v>
      </c>
      <c r="Z38" s="2">
        <v>780.27616</v>
      </c>
      <c r="AD38" s="2">
        <v>515</v>
      </c>
      <c r="AE38" s="2">
        <v>103024.68786999999</v>
      </c>
      <c r="AG38" s="2">
        <v>515</v>
      </c>
      <c r="AH38" s="2">
        <v>100087.31922999999</v>
      </c>
    </row>
    <row r="39" spans="2:34" x14ac:dyDescent="0.2">
      <c r="B39" s="2">
        <v>516</v>
      </c>
      <c r="C39" s="2">
        <v>375.96010999999999</v>
      </c>
      <c r="E39" s="2">
        <v>656</v>
      </c>
      <c r="F39" s="2">
        <v>35.344540000000002</v>
      </c>
      <c r="H39" s="2">
        <v>436</v>
      </c>
      <c r="I39" s="2">
        <v>563.85098000000005</v>
      </c>
      <c r="K39" s="2">
        <v>436</v>
      </c>
      <c r="L39" s="2">
        <v>472.12085000000002</v>
      </c>
      <c r="P39" s="2">
        <v>516</v>
      </c>
      <c r="Q39" s="7">
        <v>119912.22158</v>
      </c>
      <c r="S39" s="2">
        <v>436</v>
      </c>
      <c r="T39" s="2">
        <v>21928.052879999999</v>
      </c>
      <c r="V39" s="2">
        <v>656</v>
      </c>
      <c r="W39" s="2">
        <v>119862.50872</v>
      </c>
      <c r="Y39" s="2">
        <v>436</v>
      </c>
      <c r="Z39" s="2">
        <v>697.55034000000001</v>
      </c>
      <c r="AD39" s="2">
        <v>516</v>
      </c>
      <c r="AE39" s="2">
        <v>103422.84285</v>
      </c>
      <c r="AG39" s="2">
        <v>516</v>
      </c>
      <c r="AH39" s="2">
        <v>99683.046600000001</v>
      </c>
    </row>
    <row r="40" spans="2:34" x14ac:dyDescent="0.2">
      <c r="B40" s="2">
        <v>517</v>
      </c>
      <c r="C40" s="2">
        <v>357.53570999999999</v>
      </c>
      <c r="E40" s="2">
        <v>657</v>
      </c>
      <c r="F40" s="2">
        <v>156.67186000000001</v>
      </c>
      <c r="H40" s="2">
        <v>437</v>
      </c>
      <c r="I40" s="2">
        <v>634.73875999999996</v>
      </c>
      <c r="K40" s="2">
        <v>437</v>
      </c>
      <c r="L40" s="2">
        <v>552.77025000000003</v>
      </c>
      <c r="P40" s="2">
        <v>517</v>
      </c>
      <c r="Q40" s="7">
        <v>120365.67701</v>
      </c>
      <c r="S40" s="2">
        <v>437</v>
      </c>
      <c r="T40" s="2">
        <v>23765.02505</v>
      </c>
      <c r="V40" s="2">
        <v>657</v>
      </c>
      <c r="W40" s="2">
        <v>123622.67835</v>
      </c>
      <c r="Y40" s="2">
        <v>437</v>
      </c>
      <c r="Z40" s="2">
        <v>518.41368</v>
      </c>
      <c r="AD40" s="2">
        <v>517</v>
      </c>
      <c r="AE40" s="2">
        <v>102737.89231</v>
      </c>
      <c r="AG40" s="2">
        <v>517</v>
      </c>
      <c r="AH40" s="2">
        <v>99555.948839999997</v>
      </c>
    </row>
    <row r="41" spans="2:34" x14ac:dyDescent="0.2">
      <c r="B41" s="2">
        <v>518</v>
      </c>
      <c r="C41" s="2">
        <v>371.48813000000001</v>
      </c>
      <c r="E41" s="2">
        <v>658</v>
      </c>
      <c r="F41" s="2">
        <v>102.89696000000001</v>
      </c>
      <c r="H41" s="2">
        <v>438</v>
      </c>
      <c r="I41" s="2">
        <v>739.93142999999998</v>
      </c>
      <c r="K41" s="2">
        <v>438</v>
      </c>
      <c r="L41" s="2">
        <v>596.12513999999999</v>
      </c>
      <c r="P41" s="2">
        <v>518</v>
      </c>
      <c r="Q41" s="7">
        <v>119549.66310000001</v>
      </c>
      <c r="S41" s="2">
        <v>438</v>
      </c>
      <c r="T41" s="2">
        <v>25180.23949</v>
      </c>
      <c r="V41" s="2">
        <v>658</v>
      </c>
      <c r="W41" s="2">
        <v>126766.65819</v>
      </c>
      <c r="Y41" s="2">
        <v>438</v>
      </c>
      <c r="Z41" s="2">
        <v>638.34783000000004</v>
      </c>
      <c r="AD41" s="2">
        <v>518</v>
      </c>
      <c r="AE41" s="2">
        <v>102234.07829</v>
      </c>
      <c r="AG41" s="2">
        <v>518</v>
      </c>
      <c r="AH41" s="2">
        <v>98685.456980000003</v>
      </c>
    </row>
    <row r="42" spans="2:34" x14ac:dyDescent="0.2">
      <c r="B42" s="2">
        <v>519</v>
      </c>
      <c r="C42" s="2">
        <v>366.1499</v>
      </c>
      <c r="E42" s="2">
        <v>659</v>
      </c>
      <c r="F42" s="2">
        <v>379.65409</v>
      </c>
      <c r="H42" s="2">
        <v>439</v>
      </c>
      <c r="I42" s="2">
        <v>850.62675999999999</v>
      </c>
      <c r="K42" s="2">
        <v>439</v>
      </c>
      <c r="L42" s="2">
        <v>520.89058</v>
      </c>
      <c r="P42" s="2">
        <v>519</v>
      </c>
      <c r="Q42" s="7">
        <v>118608.81219</v>
      </c>
      <c r="S42" s="2">
        <v>439</v>
      </c>
      <c r="T42" s="2">
        <v>26323.692770000001</v>
      </c>
      <c r="V42" s="2">
        <v>659</v>
      </c>
      <c r="W42" s="2">
        <v>130299.87458</v>
      </c>
      <c r="Y42" s="2">
        <v>439</v>
      </c>
      <c r="Z42" s="2">
        <v>664.05935999999997</v>
      </c>
      <c r="AD42" s="2">
        <v>519</v>
      </c>
      <c r="AE42" s="2">
        <v>100671.45196999999</v>
      </c>
      <c r="AG42" s="2">
        <v>519</v>
      </c>
      <c r="AH42" s="2">
        <v>97377.716220000002</v>
      </c>
    </row>
    <row r="43" spans="2:34" x14ac:dyDescent="0.2">
      <c r="B43" s="2">
        <v>520</v>
      </c>
      <c r="C43" s="2">
        <v>294.89109999999999</v>
      </c>
      <c r="E43" s="2">
        <v>660</v>
      </c>
      <c r="F43" s="2">
        <v>122.38597</v>
      </c>
      <c r="H43" s="2">
        <v>440</v>
      </c>
      <c r="I43" s="2">
        <v>822.40315999999996</v>
      </c>
      <c r="K43" s="2">
        <v>440</v>
      </c>
      <c r="L43" s="2">
        <v>502.95280000000002</v>
      </c>
      <c r="P43" s="2">
        <v>520</v>
      </c>
      <c r="Q43" s="7">
        <v>117856.69945</v>
      </c>
      <c r="S43" s="2">
        <v>440</v>
      </c>
      <c r="T43" s="2">
        <v>28402.517070000002</v>
      </c>
      <c r="V43" s="2">
        <v>660</v>
      </c>
      <c r="W43" s="2">
        <v>134810.32131</v>
      </c>
      <c r="Y43" s="2">
        <v>440</v>
      </c>
      <c r="Z43" s="2">
        <v>590.53043000000002</v>
      </c>
      <c r="AD43" s="2">
        <v>520</v>
      </c>
      <c r="AE43" s="2">
        <v>99599.906529999993</v>
      </c>
      <c r="AG43" s="2">
        <v>520</v>
      </c>
      <c r="AH43" s="2">
        <v>96159.178599999999</v>
      </c>
    </row>
    <row r="44" spans="2:34" x14ac:dyDescent="0.2">
      <c r="B44" s="2">
        <v>521</v>
      </c>
      <c r="C44" s="2">
        <v>322.33926000000002</v>
      </c>
      <c r="E44" s="2">
        <v>661</v>
      </c>
      <c r="F44" s="2">
        <v>100.99512</v>
      </c>
      <c r="H44" s="2">
        <v>441</v>
      </c>
      <c r="I44" s="2">
        <v>883.29971999999998</v>
      </c>
      <c r="K44" s="2">
        <v>441</v>
      </c>
      <c r="L44" s="2">
        <v>490.22138999999999</v>
      </c>
      <c r="P44" s="2">
        <v>521</v>
      </c>
      <c r="Q44" s="7">
        <v>115727.31226999999</v>
      </c>
      <c r="S44" s="2">
        <v>441</v>
      </c>
      <c r="T44" s="2">
        <v>30187.323840000001</v>
      </c>
      <c r="V44" s="2">
        <v>661</v>
      </c>
      <c r="W44" s="2">
        <v>134067.30596999999</v>
      </c>
      <c r="Y44" s="2">
        <v>441</v>
      </c>
      <c r="Z44" s="2">
        <v>667.08669999999995</v>
      </c>
      <c r="AD44" s="2">
        <v>521</v>
      </c>
      <c r="AE44" s="2">
        <v>96898.364950000003</v>
      </c>
      <c r="AG44" s="2">
        <v>521</v>
      </c>
      <c r="AH44" s="2">
        <v>94247.916970000006</v>
      </c>
    </row>
    <row r="45" spans="2:34" x14ac:dyDescent="0.2">
      <c r="B45" s="2">
        <v>522</v>
      </c>
      <c r="C45" s="2">
        <v>281.28048000000001</v>
      </c>
      <c r="E45" s="2">
        <v>662</v>
      </c>
      <c r="F45" s="2">
        <v>131.50621000000001</v>
      </c>
      <c r="H45" s="2">
        <v>442</v>
      </c>
      <c r="I45" s="2">
        <v>806.74261999999999</v>
      </c>
      <c r="K45" s="2">
        <v>442</v>
      </c>
      <c r="L45" s="2">
        <v>535.84902999999997</v>
      </c>
      <c r="P45" s="2">
        <v>522</v>
      </c>
      <c r="Q45" s="7">
        <v>113714.69607000001</v>
      </c>
      <c r="S45" s="2">
        <v>442</v>
      </c>
      <c r="T45" s="2">
        <v>32475.824280000001</v>
      </c>
      <c r="V45" s="2">
        <v>662</v>
      </c>
      <c r="W45" s="2">
        <v>136845.19438999999</v>
      </c>
      <c r="Y45" s="2">
        <v>442</v>
      </c>
      <c r="Z45" s="2">
        <v>559.35587999999996</v>
      </c>
      <c r="AD45" s="2">
        <v>522</v>
      </c>
      <c r="AE45" s="2">
        <v>94921.706900000005</v>
      </c>
      <c r="AG45" s="2">
        <v>522</v>
      </c>
      <c r="AH45" s="2">
        <v>92053.037970000005</v>
      </c>
    </row>
    <row r="46" spans="2:34" x14ac:dyDescent="0.2">
      <c r="B46" s="2">
        <v>523</v>
      </c>
      <c r="C46" s="2">
        <v>284.09361000000001</v>
      </c>
      <c r="E46" s="2">
        <v>663</v>
      </c>
      <c r="F46" s="2">
        <v>91.652749999999997</v>
      </c>
      <c r="H46" s="2">
        <v>443</v>
      </c>
      <c r="I46" s="2">
        <v>755.86704999999995</v>
      </c>
      <c r="K46" s="2">
        <v>443</v>
      </c>
      <c r="L46" s="2">
        <v>330.25058000000001</v>
      </c>
      <c r="P46" s="2">
        <v>523</v>
      </c>
      <c r="Q46" s="7">
        <v>111963.73834</v>
      </c>
      <c r="S46" s="2">
        <v>443</v>
      </c>
      <c r="T46" s="2">
        <v>34559.131430000001</v>
      </c>
      <c r="V46" s="2">
        <v>663</v>
      </c>
      <c r="W46" s="2">
        <v>135906.04366</v>
      </c>
      <c r="Y46" s="2">
        <v>443</v>
      </c>
      <c r="Z46" s="2">
        <v>866.47263999999996</v>
      </c>
      <c r="AD46" s="2">
        <v>523</v>
      </c>
      <c r="AE46" s="2">
        <v>92786.898570000005</v>
      </c>
      <c r="AG46" s="2">
        <v>523</v>
      </c>
      <c r="AH46" s="2">
        <v>89980.032949999993</v>
      </c>
    </row>
    <row r="47" spans="2:34" x14ac:dyDescent="0.2">
      <c r="B47" s="2">
        <v>524</v>
      </c>
      <c r="C47" s="2">
        <v>251.79411999999999</v>
      </c>
      <c r="E47" s="2">
        <v>664</v>
      </c>
      <c r="F47" s="2">
        <v>194.50692000000001</v>
      </c>
      <c r="H47" s="2">
        <v>444</v>
      </c>
      <c r="I47" s="2">
        <v>594.20302000000004</v>
      </c>
      <c r="K47" s="2">
        <v>444</v>
      </c>
      <c r="L47" s="2">
        <v>450.50274999999999</v>
      </c>
      <c r="P47" s="2">
        <v>524</v>
      </c>
      <c r="Q47" s="7">
        <v>109758.09106999999</v>
      </c>
      <c r="S47" s="2">
        <v>444</v>
      </c>
      <c r="T47" s="2">
        <v>35631.004090000002</v>
      </c>
      <c r="V47" s="2">
        <v>664</v>
      </c>
      <c r="W47" s="2">
        <v>135584.30150999999</v>
      </c>
      <c r="Y47" s="2">
        <v>444</v>
      </c>
      <c r="Z47" s="2">
        <v>951.54488000000003</v>
      </c>
      <c r="AD47" s="2">
        <v>524</v>
      </c>
      <c r="AE47" s="2">
        <v>90139.515400000004</v>
      </c>
      <c r="AG47" s="2">
        <v>524</v>
      </c>
      <c r="AH47" s="2">
        <v>87616.307310000004</v>
      </c>
    </row>
    <row r="48" spans="2:34" x14ac:dyDescent="0.2">
      <c r="B48" s="2">
        <v>525</v>
      </c>
      <c r="C48" s="2">
        <v>275.07555000000002</v>
      </c>
      <c r="E48" s="2">
        <v>665</v>
      </c>
      <c r="F48" s="2">
        <v>245.27698000000001</v>
      </c>
      <c r="H48" s="2">
        <v>445</v>
      </c>
      <c r="I48" s="2">
        <v>560.40814999999998</v>
      </c>
      <c r="K48" s="2">
        <v>445</v>
      </c>
      <c r="L48" s="2">
        <v>399.24743999999998</v>
      </c>
      <c r="P48" s="2">
        <v>525</v>
      </c>
      <c r="Q48" s="7">
        <v>106828.45985</v>
      </c>
      <c r="S48" s="2">
        <v>445</v>
      </c>
      <c r="T48" s="2">
        <v>39153.00978</v>
      </c>
      <c r="V48" s="2">
        <v>665</v>
      </c>
      <c r="W48" s="2">
        <v>134689.76053999999</v>
      </c>
      <c r="Y48" s="2">
        <v>445</v>
      </c>
      <c r="Z48" s="2">
        <v>697.02589</v>
      </c>
      <c r="AD48" s="2">
        <v>525</v>
      </c>
      <c r="AE48" s="2">
        <v>87640.984719999993</v>
      </c>
      <c r="AG48" s="2">
        <v>525</v>
      </c>
      <c r="AH48" s="2">
        <v>85605.839640000006</v>
      </c>
    </row>
    <row r="49" spans="2:34" x14ac:dyDescent="0.2">
      <c r="B49" s="2">
        <v>526</v>
      </c>
      <c r="C49" s="2">
        <v>268.57898999999998</v>
      </c>
      <c r="E49" s="2">
        <v>666</v>
      </c>
      <c r="F49" s="2">
        <v>131.98463000000001</v>
      </c>
      <c r="H49" s="2">
        <v>446</v>
      </c>
      <c r="I49" s="2">
        <v>654.16321000000005</v>
      </c>
      <c r="K49" s="2">
        <v>446</v>
      </c>
      <c r="L49" s="2">
        <v>444.59656999999999</v>
      </c>
      <c r="P49" s="2">
        <v>526</v>
      </c>
      <c r="Q49" s="7">
        <v>104939.39840000001</v>
      </c>
      <c r="S49" s="2">
        <v>446</v>
      </c>
      <c r="T49" s="2">
        <v>41346.819920000002</v>
      </c>
      <c r="V49" s="2">
        <v>666</v>
      </c>
      <c r="W49" s="2">
        <v>134540.36464000001</v>
      </c>
      <c r="Y49" s="2">
        <v>446</v>
      </c>
      <c r="Z49" s="2">
        <v>844.96487999999999</v>
      </c>
      <c r="AD49" s="2">
        <v>526</v>
      </c>
      <c r="AE49" s="2">
        <v>85773.691269999996</v>
      </c>
      <c r="AG49" s="2">
        <v>526</v>
      </c>
      <c r="AH49" s="2">
        <v>82682.61838</v>
      </c>
    </row>
    <row r="50" spans="2:34" x14ac:dyDescent="0.2">
      <c r="B50" s="2">
        <v>527</v>
      </c>
      <c r="C50" s="2">
        <v>278.24437999999998</v>
      </c>
      <c r="E50" s="2">
        <v>667</v>
      </c>
      <c r="F50" s="2">
        <v>-3.11389</v>
      </c>
      <c r="H50" s="2">
        <v>447</v>
      </c>
      <c r="I50" s="2">
        <v>559.74396000000002</v>
      </c>
      <c r="K50" s="2">
        <v>447</v>
      </c>
      <c r="L50" s="2">
        <v>625.04741000000001</v>
      </c>
      <c r="P50" s="2">
        <v>527</v>
      </c>
      <c r="Q50" s="7">
        <v>101559.75479000001</v>
      </c>
      <c r="S50" s="2">
        <v>447</v>
      </c>
      <c r="T50" s="2">
        <v>43833.206510000004</v>
      </c>
      <c r="V50" s="2">
        <v>667</v>
      </c>
      <c r="W50" s="2">
        <v>132079.41581000001</v>
      </c>
      <c r="Y50" s="2">
        <v>447</v>
      </c>
      <c r="Z50" s="2">
        <v>932.27494000000002</v>
      </c>
      <c r="AD50" s="2">
        <v>527</v>
      </c>
      <c r="AE50" s="2">
        <v>83105.303849999997</v>
      </c>
      <c r="AG50" s="2">
        <v>527</v>
      </c>
      <c r="AH50" s="2">
        <v>80436.495129999996</v>
      </c>
    </row>
    <row r="51" spans="2:34" x14ac:dyDescent="0.2">
      <c r="B51" s="2">
        <v>528</v>
      </c>
      <c r="C51" s="2">
        <v>261.00141000000002</v>
      </c>
      <c r="E51" s="2">
        <v>668</v>
      </c>
      <c r="F51" s="2">
        <v>110.42619000000001</v>
      </c>
      <c r="H51" s="2">
        <v>448</v>
      </c>
      <c r="I51" s="2">
        <v>447.19619999999998</v>
      </c>
      <c r="K51" s="2">
        <v>448</v>
      </c>
      <c r="L51" s="2">
        <v>471.56535000000002</v>
      </c>
      <c r="P51" s="2">
        <v>528</v>
      </c>
      <c r="Q51" s="7">
        <v>99051.694050000006</v>
      </c>
      <c r="S51" s="2">
        <v>448</v>
      </c>
      <c r="T51" s="2">
        <v>46997.228470000002</v>
      </c>
      <c r="V51" s="2">
        <v>668</v>
      </c>
      <c r="W51" s="2">
        <v>128084.60821000001</v>
      </c>
      <c r="Y51" s="2">
        <v>448</v>
      </c>
      <c r="Z51" s="2">
        <v>991.09450000000004</v>
      </c>
      <c r="AD51" s="2">
        <v>528</v>
      </c>
      <c r="AE51" s="2">
        <v>79791.493180000005</v>
      </c>
      <c r="AG51" s="2">
        <v>528</v>
      </c>
      <c r="AH51" s="2">
        <v>77649.697709999993</v>
      </c>
    </row>
    <row r="52" spans="2:34" x14ac:dyDescent="0.2">
      <c r="B52" s="2">
        <v>529</v>
      </c>
      <c r="C52" s="2">
        <v>284.87990000000002</v>
      </c>
      <c r="E52" s="2">
        <v>669</v>
      </c>
      <c r="F52" s="2">
        <v>271.06700000000001</v>
      </c>
      <c r="H52" s="2">
        <v>449</v>
      </c>
      <c r="I52" s="2">
        <v>431.56873000000002</v>
      </c>
      <c r="K52" s="2">
        <v>449</v>
      </c>
      <c r="L52" s="2">
        <v>305.61095</v>
      </c>
      <c r="P52" s="2">
        <v>529</v>
      </c>
      <c r="Q52" s="7">
        <v>95961.949470000007</v>
      </c>
      <c r="S52" s="2">
        <v>449</v>
      </c>
      <c r="T52" s="2">
        <v>49859.910900000003</v>
      </c>
      <c r="V52" s="2">
        <v>669</v>
      </c>
      <c r="W52" s="2">
        <v>125921.25571</v>
      </c>
      <c r="Y52" s="2">
        <v>449</v>
      </c>
      <c r="Z52" s="2">
        <v>680.79548</v>
      </c>
      <c r="AD52" s="2">
        <v>529</v>
      </c>
      <c r="AE52" s="2">
        <v>77378.418529999995</v>
      </c>
      <c r="AG52" s="2">
        <v>529</v>
      </c>
      <c r="AH52" s="2">
        <v>74613.768549999993</v>
      </c>
    </row>
    <row r="53" spans="2:34" x14ac:dyDescent="0.2">
      <c r="B53" s="2">
        <v>530</v>
      </c>
      <c r="C53" s="2">
        <v>283.98253</v>
      </c>
      <c r="E53" s="2">
        <v>670</v>
      </c>
      <c r="F53" s="2">
        <v>365.14237000000003</v>
      </c>
      <c r="H53" s="2">
        <v>450</v>
      </c>
      <c r="I53" s="2">
        <v>362.61653000000001</v>
      </c>
      <c r="K53" s="2">
        <v>450</v>
      </c>
      <c r="L53" s="2">
        <v>510.78908999999999</v>
      </c>
      <c r="P53" s="2">
        <v>530</v>
      </c>
      <c r="Q53" s="7">
        <v>93350.250450000007</v>
      </c>
      <c r="S53" s="2">
        <v>450</v>
      </c>
      <c r="T53" s="2">
        <v>52511.047160000002</v>
      </c>
      <c r="V53" s="2">
        <v>670</v>
      </c>
      <c r="W53" s="2">
        <v>121157.92045999999</v>
      </c>
      <c r="Y53" s="2">
        <v>450</v>
      </c>
      <c r="Z53" s="2">
        <v>580.54709000000003</v>
      </c>
      <c r="AD53" s="2">
        <v>530</v>
      </c>
      <c r="AE53" s="2">
        <v>74713.912899999996</v>
      </c>
      <c r="AG53" s="2">
        <v>530</v>
      </c>
      <c r="AH53" s="2">
        <v>72569.387900000002</v>
      </c>
    </row>
    <row r="54" spans="2:34" x14ac:dyDescent="0.2">
      <c r="B54" s="2">
        <v>531</v>
      </c>
      <c r="C54" s="2">
        <v>274.62655999999998</v>
      </c>
      <c r="E54" s="2">
        <v>671</v>
      </c>
      <c r="F54" s="2">
        <v>187.03847999999999</v>
      </c>
      <c r="H54" s="2">
        <v>451</v>
      </c>
      <c r="I54" s="2">
        <v>322.80894999999998</v>
      </c>
      <c r="K54" s="2">
        <v>451</v>
      </c>
      <c r="L54" s="2">
        <v>463.30989</v>
      </c>
      <c r="P54" s="2">
        <v>531</v>
      </c>
      <c r="Q54" s="7">
        <v>89601.043699999995</v>
      </c>
      <c r="S54" s="2">
        <v>451</v>
      </c>
      <c r="T54" s="2">
        <v>55460.35901</v>
      </c>
      <c r="V54" s="2">
        <v>671</v>
      </c>
      <c r="W54" s="2">
        <v>117974.59805</v>
      </c>
      <c r="Y54" s="2">
        <v>451</v>
      </c>
      <c r="Z54" s="2">
        <v>976.11869999999999</v>
      </c>
      <c r="AD54" s="2">
        <v>531</v>
      </c>
      <c r="AE54" s="2">
        <v>72233.978019999995</v>
      </c>
      <c r="AG54" s="2">
        <v>531</v>
      </c>
      <c r="AH54" s="2">
        <v>69999.701119999998</v>
      </c>
    </row>
    <row r="55" spans="2:34" x14ac:dyDescent="0.2">
      <c r="B55" s="2">
        <v>532</v>
      </c>
      <c r="C55" s="2">
        <v>263.63526999999999</v>
      </c>
      <c r="E55" s="2">
        <v>672</v>
      </c>
      <c r="F55" s="2">
        <v>222.91003000000001</v>
      </c>
      <c r="H55" s="2">
        <v>452</v>
      </c>
      <c r="I55" s="2">
        <v>350.28026</v>
      </c>
      <c r="K55" s="2">
        <v>452</v>
      </c>
      <c r="L55" s="2">
        <v>503.83904000000001</v>
      </c>
      <c r="P55" s="2">
        <v>532</v>
      </c>
      <c r="Q55" s="7">
        <v>86593.973379999996</v>
      </c>
      <c r="S55" s="2">
        <v>452</v>
      </c>
      <c r="T55" s="2">
        <v>59069.324419999997</v>
      </c>
      <c r="V55" s="2">
        <v>672</v>
      </c>
      <c r="W55" s="2">
        <v>113319.7058</v>
      </c>
      <c r="Y55" s="2">
        <v>452</v>
      </c>
      <c r="Z55" s="2">
        <v>826.06267000000003</v>
      </c>
      <c r="AD55" s="2">
        <v>532</v>
      </c>
      <c r="AE55" s="2">
        <v>69210.480750000002</v>
      </c>
      <c r="AG55" s="2">
        <v>532</v>
      </c>
      <c r="AH55" s="2">
        <v>67167.758000000002</v>
      </c>
    </row>
    <row r="56" spans="2:34" x14ac:dyDescent="0.2">
      <c r="B56" s="2">
        <v>533</v>
      </c>
      <c r="C56" s="2">
        <v>265.54228999999998</v>
      </c>
      <c r="E56" s="2">
        <v>673</v>
      </c>
      <c r="F56" s="2">
        <v>185.60863000000001</v>
      </c>
      <c r="H56" s="2">
        <v>453</v>
      </c>
      <c r="I56" s="2">
        <v>296.89174000000003</v>
      </c>
      <c r="K56" s="2">
        <v>453</v>
      </c>
      <c r="L56" s="2">
        <v>376.95044000000001</v>
      </c>
      <c r="P56" s="2">
        <v>533</v>
      </c>
      <c r="Q56" s="7">
        <v>83615.686459999997</v>
      </c>
      <c r="S56" s="2">
        <v>453</v>
      </c>
      <c r="T56" s="2">
        <v>61964.080260000002</v>
      </c>
      <c r="V56" s="2">
        <v>673</v>
      </c>
      <c r="W56" s="2">
        <v>107880.79167999999</v>
      </c>
      <c r="Y56" s="2">
        <v>453</v>
      </c>
      <c r="Z56" s="2">
        <v>1153.79673</v>
      </c>
      <c r="AD56" s="2">
        <v>533</v>
      </c>
      <c r="AE56" s="2">
        <v>66830.090389999998</v>
      </c>
      <c r="AG56" s="2">
        <v>533</v>
      </c>
      <c r="AH56" s="2">
        <v>64868.505169999997</v>
      </c>
    </row>
    <row r="57" spans="2:34" x14ac:dyDescent="0.2">
      <c r="B57" s="2">
        <v>534</v>
      </c>
      <c r="C57" s="2">
        <v>264.32387999999997</v>
      </c>
      <c r="E57" s="2">
        <v>674</v>
      </c>
      <c r="F57" s="2">
        <v>215.59807000000001</v>
      </c>
      <c r="H57" s="2">
        <v>454</v>
      </c>
      <c r="I57" s="2">
        <v>320.90656999999999</v>
      </c>
      <c r="K57" s="2">
        <v>454</v>
      </c>
      <c r="L57" s="2">
        <v>376.85001999999997</v>
      </c>
      <c r="P57" s="2">
        <v>534</v>
      </c>
      <c r="Q57" s="7">
        <v>80398.361839999998</v>
      </c>
      <c r="S57" s="2">
        <v>454</v>
      </c>
      <c r="T57" s="2">
        <v>65889.832280000002</v>
      </c>
      <c r="V57" s="2">
        <v>674</v>
      </c>
      <c r="W57" s="2">
        <v>103626.69584</v>
      </c>
      <c r="Y57" s="2">
        <v>454</v>
      </c>
      <c r="Z57" s="2">
        <v>1003.04319</v>
      </c>
      <c r="AD57" s="2">
        <v>534</v>
      </c>
      <c r="AE57" s="2">
        <v>64410.880290000001</v>
      </c>
      <c r="AG57" s="2">
        <v>534</v>
      </c>
      <c r="AH57" s="2">
        <v>62314.782899999998</v>
      </c>
    </row>
    <row r="58" spans="2:34" x14ac:dyDescent="0.2">
      <c r="B58" s="2">
        <v>535</v>
      </c>
      <c r="C58" s="2">
        <v>236.61053999999999</v>
      </c>
      <c r="E58" s="2">
        <v>675</v>
      </c>
      <c r="F58" s="2">
        <v>197.54122000000001</v>
      </c>
      <c r="H58" s="2">
        <v>455</v>
      </c>
      <c r="I58" s="2">
        <v>379.28899999999999</v>
      </c>
      <c r="K58" s="2">
        <v>455</v>
      </c>
      <c r="L58" s="2">
        <v>402.03480000000002</v>
      </c>
      <c r="P58" s="2">
        <v>535</v>
      </c>
      <c r="Q58" s="7">
        <v>77481.195609999995</v>
      </c>
      <c r="S58" s="2">
        <v>455</v>
      </c>
      <c r="T58" s="2">
        <v>68549.902359999993</v>
      </c>
      <c r="V58" s="2">
        <v>675</v>
      </c>
      <c r="W58" s="2">
        <v>100061.2985</v>
      </c>
      <c r="Y58" s="2">
        <v>455</v>
      </c>
      <c r="Z58" s="2">
        <v>943.88265000000001</v>
      </c>
      <c r="AD58" s="2">
        <v>535</v>
      </c>
      <c r="AE58" s="2">
        <v>61906.660450000003</v>
      </c>
      <c r="AG58" s="2">
        <v>535</v>
      </c>
      <c r="AH58" s="2">
        <v>59955.400659999999</v>
      </c>
    </row>
    <row r="59" spans="2:34" x14ac:dyDescent="0.2">
      <c r="B59" s="2">
        <v>536</v>
      </c>
      <c r="C59" s="2">
        <v>276.35633999999999</v>
      </c>
      <c r="E59" s="2">
        <v>676</v>
      </c>
      <c r="F59" s="2">
        <v>17.59928</v>
      </c>
      <c r="H59" s="2">
        <v>456</v>
      </c>
      <c r="I59" s="2">
        <v>383.19493</v>
      </c>
      <c r="K59" s="2">
        <v>456</v>
      </c>
      <c r="L59" s="2">
        <v>503.80378999999999</v>
      </c>
      <c r="P59" s="2">
        <v>536</v>
      </c>
      <c r="Q59" s="7">
        <v>75716.114849999998</v>
      </c>
      <c r="S59" s="2">
        <v>456</v>
      </c>
      <c r="T59" s="2">
        <v>72185.239220000003</v>
      </c>
      <c r="V59" s="2">
        <v>676</v>
      </c>
      <c r="W59" s="2">
        <v>93787.862699999998</v>
      </c>
      <c r="Y59" s="2">
        <v>456</v>
      </c>
      <c r="Z59" s="2">
        <v>1022.69759</v>
      </c>
      <c r="AD59" s="2">
        <v>536</v>
      </c>
      <c r="AE59" s="2">
        <v>59667.902029999997</v>
      </c>
      <c r="AG59" s="2">
        <v>536</v>
      </c>
      <c r="AH59" s="2">
        <v>57453.881350000003</v>
      </c>
    </row>
    <row r="60" spans="2:34" x14ac:dyDescent="0.2">
      <c r="B60" s="2">
        <v>537</v>
      </c>
      <c r="C60" s="2">
        <v>264.46060999999997</v>
      </c>
      <c r="E60" s="2">
        <v>677</v>
      </c>
      <c r="F60" s="2">
        <v>160.88199</v>
      </c>
      <c r="H60" s="2">
        <v>457</v>
      </c>
      <c r="I60" s="2">
        <v>360.24011000000002</v>
      </c>
      <c r="K60" s="2">
        <v>457</v>
      </c>
      <c r="L60" s="2">
        <v>263.70249999999999</v>
      </c>
      <c r="P60" s="2">
        <v>537</v>
      </c>
      <c r="Q60" s="7">
        <v>72736.669160000005</v>
      </c>
      <c r="S60" s="2">
        <v>457</v>
      </c>
      <c r="T60" s="2">
        <v>75257.556670000005</v>
      </c>
      <c r="V60" s="2">
        <v>677</v>
      </c>
      <c r="W60" s="2">
        <v>90640.617660000004</v>
      </c>
      <c r="Y60" s="2">
        <v>457</v>
      </c>
      <c r="Z60" s="2">
        <v>990.24019999999996</v>
      </c>
      <c r="AD60" s="2">
        <v>537</v>
      </c>
      <c r="AE60" s="2">
        <v>57696.311809999999</v>
      </c>
      <c r="AG60" s="2">
        <v>537</v>
      </c>
      <c r="AH60" s="2">
        <v>55723.894619999999</v>
      </c>
    </row>
    <row r="61" spans="2:34" x14ac:dyDescent="0.2">
      <c r="B61" s="2">
        <v>538</v>
      </c>
      <c r="C61" s="2">
        <v>238.20555999999999</v>
      </c>
      <c r="E61" s="2">
        <v>678</v>
      </c>
      <c r="F61" s="2">
        <v>105.13589</v>
      </c>
      <c r="H61" s="2">
        <v>458</v>
      </c>
      <c r="I61" s="2">
        <v>257.12929000000003</v>
      </c>
      <c r="K61" s="2">
        <v>458</v>
      </c>
      <c r="L61" s="2">
        <v>255.94117</v>
      </c>
      <c r="P61" s="2">
        <v>538</v>
      </c>
      <c r="Q61" s="7">
        <v>70279.485329999996</v>
      </c>
      <c r="S61" s="2">
        <v>458</v>
      </c>
      <c r="T61" s="2">
        <v>79231.339959999998</v>
      </c>
      <c r="V61" s="2">
        <v>678</v>
      </c>
      <c r="W61" s="2">
        <v>85897.018599999996</v>
      </c>
      <c r="Y61" s="2">
        <v>458</v>
      </c>
      <c r="Z61" s="2">
        <v>1016.41413</v>
      </c>
      <c r="AD61" s="2">
        <v>538</v>
      </c>
      <c r="AE61" s="2">
        <v>55759.872510000001</v>
      </c>
      <c r="AG61" s="2">
        <v>538</v>
      </c>
      <c r="AH61" s="2">
        <v>53987.260849999999</v>
      </c>
    </row>
    <row r="62" spans="2:34" x14ac:dyDescent="0.2">
      <c r="B62" s="2">
        <v>539</v>
      </c>
      <c r="C62" s="2">
        <v>267.9314</v>
      </c>
      <c r="E62" s="2">
        <v>679</v>
      </c>
      <c r="F62" s="2">
        <v>99.379000000000005</v>
      </c>
      <c r="H62" s="2">
        <v>459</v>
      </c>
      <c r="I62" s="2">
        <v>313.29939000000002</v>
      </c>
      <c r="K62" s="2">
        <v>459</v>
      </c>
      <c r="L62" s="2">
        <v>470.28868999999997</v>
      </c>
      <c r="P62" s="2">
        <v>539</v>
      </c>
      <c r="Q62" s="7">
        <v>67926.251350000006</v>
      </c>
      <c r="S62" s="2">
        <v>459</v>
      </c>
      <c r="T62" s="2">
        <v>82847.522949999999</v>
      </c>
      <c r="V62" s="2">
        <v>679</v>
      </c>
      <c r="W62" s="2">
        <v>79599.993100000007</v>
      </c>
      <c r="Y62" s="2">
        <v>459</v>
      </c>
      <c r="Z62" s="2">
        <v>1040.38705</v>
      </c>
      <c r="AD62" s="2">
        <v>539</v>
      </c>
      <c r="AE62" s="2">
        <v>53466.627610000003</v>
      </c>
      <c r="AG62" s="2">
        <v>539</v>
      </c>
      <c r="AH62" s="2">
        <v>51754.502560000001</v>
      </c>
    </row>
    <row r="63" spans="2:34" x14ac:dyDescent="0.2">
      <c r="B63" s="2">
        <v>540</v>
      </c>
      <c r="C63" s="2">
        <v>231.58342999999999</v>
      </c>
      <c r="E63" s="2">
        <v>680</v>
      </c>
      <c r="F63" s="2">
        <v>115.72266999999999</v>
      </c>
      <c r="H63" s="2">
        <v>460</v>
      </c>
      <c r="I63" s="2">
        <v>308.31671999999998</v>
      </c>
      <c r="K63" s="2">
        <v>460</v>
      </c>
      <c r="L63" s="2">
        <v>344.71919000000003</v>
      </c>
      <c r="P63" s="2">
        <v>540</v>
      </c>
      <c r="Q63" s="7">
        <v>65779.047869999995</v>
      </c>
      <c r="S63" s="2">
        <v>460</v>
      </c>
      <c r="T63" s="2">
        <v>85690.581210000004</v>
      </c>
      <c r="V63" s="2">
        <v>680</v>
      </c>
      <c r="W63" s="2">
        <v>76307.036829999997</v>
      </c>
      <c r="Y63" s="2">
        <v>460</v>
      </c>
      <c r="Z63" s="2">
        <v>1254.6053400000001</v>
      </c>
      <c r="AD63" s="2">
        <v>540</v>
      </c>
      <c r="AE63" s="2">
        <v>51445.286249999997</v>
      </c>
      <c r="AG63" s="2">
        <v>540</v>
      </c>
      <c r="AH63" s="2">
        <v>50440.060250000002</v>
      </c>
    </row>
    <row r="64" spans="2:34" x14ac:dyDescent="0.2">
      <c r="B64" s="2">
        <v>541</v>
      </c>
      <c r="C64" s="2">
        <v>225.60866999999999</v>
      </c>
      <c r="E64" s="2">
        <v>681</v>
      </c>
      <c r="F64" s="2">
        <v>177.94072</v>
      </c>
      <c r="H64" s="2">
        <v>461</v>
      </c>
      <c r="I64" s="2">
        <v>273.38733000000002</v>
      </c>
      <c r="K64" s="2">
        <v>461</v>
      </c>
      <c r="L64" s="2">
        <v>350.39231000000001</v>
      </c>
      <c r="P64" s="2">
        <v>541</v>
      </c>
      <c r="Q64" s="7">
        <v>63322.272850000001</v>
      </c>
      <c r="S64" s="2">
        <v>461</v>
      </c>
      <c r="T64" s="2">
        <v>89071.452690000006</v>
      </c>
      <c r="V64" s="2">
        <v>681</v>
      </c>
      <c r="W64" s="2">
        <v>72932.444380000001</v>
      </c>
      <c r="Y64" s="2">
        <v>461</v>
      </c>
      <c r="Z64" s="2">
        <v>945.82105999999999</v>
      </c>
      <c r="AD64" s="2">
        <v>541</v>
      </c>
      <c r="AE64" s="2">
        <v>50403.13119</v>
      </c>
      <c r="AG64" s="2">
        <v>541</v>
      </c>
      <c r="AH64" s="2">
        <v>48472.446210000002</v>
      </c>
    </row>
    <row r="65" spans="2:34" x14ac:dyDescent="0.2">
      <c r="B65" s="2">
        <v>542</v>
      </c>
      <c r="C65" s="2">
        <v>267.11297999999999</v>
      </c>
      <c r="E65" s="2">
        <v>682</v>
      </c>
      <c r="F65" s="2">
        <v>72.998230000000007</v>
      </c>
      <c r="H65" s="2">
        <v>462</v>
      </c>
      <c r="I65" s="2">
        <v>273.19092999999998</v>
      </c>
      <c r="K65" s="2">
        <v>462</v>
      </c>
      <c r="L65" s="2">
        <v>372.17286000000001</v>
      </c>
      <c r="P65" s="2">
        <v>542</v>
      </c>
      <c r="Q65" s="7">
        <v>61270.344819999998</v>
      </c>
      <c r="S65" s="2">
        <v>462</v>
      </c>
      <c r="T65" s="2">
        <v>92080.457420000006</v>
      </c>
      <c r="V65" s="2">
        <v>682</v>
      </c>
      <c r="W65" s="2">
        <v>68507.530570000003</v>
      </c>
      <c r="Y65" s="2">
        <v>462</v>
      </c>
      <c r="Z65" s="2">
        <v>1381.3571199999999</v>
      </c>
      <c r="AD65" s="2">
        <v>542</v>
      </c>
      <c r="AE65" s="2">
        <v>48629.05</v>
      </c>
      <c r="AG65" s="2">
        <v>542</v>
      </c>
      <c r="AH65" s="2">
        <v>47045.720359999999</v>
      </c>
    </row>
    <row r="66" spans="2:34" x14ac:dyDescent="0.2">
      <c r="B66" s="2">
        <v>543</v>
      </c>
      <c r="C66" s="2">
        <v>222.89690999999999</v>
      </c>
      <c r="E66" s="2">
        <v>683</v>
      </c>
      <c r="F66" s="2">
        <v>27.293600000000001</v>
      </c>
      <c r="H66" s="2">
        <v>463</v>
      </c>
      <c r="I66" s="2">
        <v>277.07188000000002</v>
      </c>
      <c r="K66" s="2">
        <v>463</v>
      </c>
      <c r="L66" s="2">
        <v>490.38026000000002</v>
      </c>
      <c r="P66" s="2">
        <v>543</v>
      </c>
      <c r="Q66" s="7">
        <v>59435.113010000001</v>
      </c>
      <c r="S66" s="2">
        <v>463</v>
      </c>
      <c r="T66" s="2">
        <v>94469.827959999995</v>
      </c>
      <c r="V66" s="2">
        <v>683</v>
      </c>
      <c r="W66" s="2">
        <v>65176.575109999998</v>
      </c>
      <c r="Y66" s="2">
        <v>463</v>
      </c>
      <c r="Z66" s="2">
        <v>1261.6220900000001</v>
      </c>
      <c r="AD66" s="2">
        <v>543</v>
      </c>
      <c r="AE66" s="2">
        <v>46729.209869999999</v>
      </c>
      <c r="AG66" s="2">
        <v>543</v>
      </c>
      <c r="AH66" s="2">
        <v>45330.525269999998</v>
      </c>
    </row>
    <row r="67" spans="2:34" x14ac:dyDescent="0.2">
      <c r="B67" s="2">
        <v>544</v>
      </c>
      <c r="C67" s="2">
        <v>243.03748999999999</v>
      </c>
      <c r="E67" s="2">
        <v>684</v>
      </c>
      <c r="F67" s="2">
        <v>343.89717000000002</v>
      </c>
      <c r="H67" s="2">
        <v>464</v>
      </c>
      <c r="I67" s="2">
        <v>297.66496999999998</v>
      </c>
      <c r="K67" s="2">
        <v>464</v>
      </c>
      <c r="L67" s="2">
        <v>335.69578000000001</v>
      </c>
      <c r="P67" s="2">
        <v>544</v>
      </c>
      <c r="Q67" s="7">
        <v>57636.340830000001</v>
      </c>
      <c r="S67" s="2">
        <v>464</v>
      </c>
      <c r="T67" s="2">
        <v>98354.020629999999</v>
      </c>
      <c r="V67" s="2">
        <v>684</v>
      </c>
      <c r="W67" s="2">
        <v>62392.649870000001</v>
      </c>
      <c r="Y67" s="2">
        <v>464</v>
      </c>
      <c r="Z67" s="2">
        <v>1397.56385</v>
      </c>
      <c r="AD67" s="2">
        <v>544</v>
      </c>
      <c r="AE67" s="2">
        <v>45185.459390000004</v>
      </c>
      <c r="AG67" s="2">
        <v>544</v>
      </c>
      <c r="AH67" s="2">
        <v>44100.983200000002</v>
      </c>
    </row>
    <row r="68" spans="2:34" x14ac:dyDescent="0.2">
      <c r="B68" s="2">
        <v>545</v>
      </c>
      <c r="C68" s="2">
        <v>246.51275000000001</v>
      </c>
      <c r="E68" s="2">
        <v>685</v>
      </c>
      <c r="F68" s="2">
        <v>204.10686999999999</v>
      </c>
      <c r="H68" s="2">
        <v>465</v>
      </c>
      <c r="I68" s="2">
        <v>261.88916</v>
      </c>
      <c r="K68" s="2">
        <v>465</v>
      </c>
      <c r="L68" s="2">
        <v>366.27697000000001</v>
      </c>
      <c r="P68" s="2">
        <v>545</v>
      </c>
      <c r="Q68" s="7">
        <v>55299.933389999998</v>
      </c>
      <c r="S68" s="2">
        <v>465</v>
      </c>
      <c r="T68" s="2">
        <v>102037.73972</v>
      </c>
      <c r="V68" s="2">
        <v>685</v>
      </c>
      <c r="W68" s="2">
        <v>58577.25649</v>
      </c>
      <c r="Y68" s="2">
        <v>465</v>
      </c>
      <c r="Z68" s="2">
        <v>1312.4957400000001</v>
      </c>
      <c r="AD68" s="2">
        <v>545</v>
      </c>
      <c r="AE68" s="2">
        <v>43954.838060000002</v>
      </c>
      <c r="AG68" s="2">
        <v>545</v>
      </c>
      <c r="AH68" s="2">
        <v>43030.172760000001</v>
      </c>
    </row>
    <row r="69" spans="2:34" x14ac:dyDescent="0.2">
      <c r="B69" s="2">
        <v>546</v>
      </c>
      <c r="C69" s="2">
        <v>273.42039999999997</v>
      </c>
      <c r="E69" s="2">
        <v>686</v>
      </c>
      <c r="F69" s="2">
        <v>133.89285000000001</v>
      </c>
      <c r="H69" s="2">
        <v>466</v>
      </c>
      <c r="I69" s="2">
        <v>293.14902999999998</v>
      </c>
      <c r="K69" s="2">
        <v>466</v>
      </c>
      <c r="L69" s="2">
        <v>302.24533000000002</v>
      </c>
      <c r="P69" s="2">
        <v>546</v>
      </c>
      <c r="Q69" s="7">
        <v>54189.437760000001</v>
      </c>
      <c r="S69" s="2">
        <v>466</v>
      </c>
      <c r="T69" s="2">
        <v>106781.47842</v>
      </c>
      <c r="V69" s="2">
        <v>686</v>
      </c>
      <c r="W69" s="2">
        <v>56687.89458</v>
      </c>
      <c r="Y69" s="2">
        <v>466</v>
      </c>
      <c r="Z69" s="2">
        <v>1450.82564</v>
      </c>
      <c r="AD69" s="2">
        <v>546</v>
      </c>
      <c r="AE69" s="2">
        <v>42364.4372</v>
      </c>
      <c r="AG69" s="2">
        <v>546</v>
      </c>
      <c r="AH69" s="2">
        <v>41159.704980000002</v>
      </c>
    </row>
    <row r="70" spans="2:34" x14ac:dyDescent="0.2">
      <c r="B70" s="2">
        <v>547</v>
      </c>
      <c r="C70" s="2">
        <v>270.40195</v>
      </c>
      <c r="E70" s="2">
        <v>687</v>
      </c>
      <c r="F70" s="2">
        <v>251.46696</v>
      </c>
      <c r="H70" s="2">
        <v>467</v>
      </c>
      <c r="I70" s="2">
        <v>282.98595999999998</v>
      </c>
      <c r="K70" s="2">
        <v>467</v>
      </c>
      <c r="L70" s="2">
        <v>517.32047999999998</v>
      </c>
      <c r="P70" s="2">
        <v>547</v>
      </c>
      <c r="Q70" s="7">
        <v>52283.950239999998</v>
      </c>
      <c r="S70" s="2">
        <v>467</v>
      </c>
      <c r="T70" s="2">
        <v>109039.61237</v>
      </c>
      <c r="V70" s="2">
        <v>687</v>
      </c>
      <c r="W70" s="2">
        <v>53486.419090000003</v>
      </c>
      <c r="Y70" s="2">
        <v>467</v>
      </c>
      <c r="Z70" s="2">
        <v>1254.3656699999999</v>
      </c>
      <c r="AD70" s="2">
        <v>547</v>
      </c>
      <c r="AE70" s="2">
        <v>41481.612029999997</v>
      </c>
      <c r="AG70" s="2">
        <v>547</v>
      </c>
      <c r="AH70" s="2">
        <v>39797.140740000003</v>
      </c>
    </row>
    <row r="71" spans="2:34" x14ac:dyDescent="0.2">
      <c r="B71" s="2">
        <v>548</v>
      </c>
      <c r="C71" s="2">
        <v>267.9855</v>
      </c>
      <c r="E71" s="2">
        <v>688</v>
      </c>
      <c r="F71" s="2">
        <v>121.15148000000001</v>
      </c>
      <c r="H71" s="2">
        <v>468</v>
      </c>
      <c r="I71" s="2">
        <v>261.70834000000002</v>
      </c>
      <c r="K71" s="2">
        <v>468</v>
      </c>
      <c r="L71" s="2">
        <v>317.47847000000002</v>
      </c>
      <c r="P71" s="2">
        <v>548</v>
      </c>
      <c r="Q71" s="7">
        <v>51003.631179999997</v>
      </c>
      <c r="S71" s="2">
        <v>468</v>
      </c>
      <c r="T71" s="2">
        <v>111737.99546000001</v>
      </c>
      <c r="V71" s="2">
        <v>688</v>
      </c>
      <c r="W71" s="2">
        <v>50505.778830000003</v>
      </c>
      <c r="Y71" s="2">
        <v>468</v>
      </c>
      <c r="Z71" s="2">
        <v>1521.2595899999999</v>
      </c>
      <c r="AD71" s="2">
        <v>548</v>
      </c>
      <c r="AE71" s="2">
        <v>40395.88738</v>
      </c>
      <c r="AG71" s="2">
        <v>548</v>
      </c>
      <c r="AH71" s="2">
        <v>39107.040399999998</v>
      </c>
    </row>
    <row r="72" spans="2:34" x14ac:dyDescent="0.2">
      <c r="B72" s="2">
        <v>549</v>
      </c>
      <c r="C72" s="2">
        <v>291.15159</v>
      </c>
      <c r="E72" s="2">
        <v>689</v>
      </c>
      <c r="F72" s="2">
        <v>21.18291</v>
      </c>
      <c r="H72" s="2">
        <v>469</v>
      </c>
      <c r="I72" s="2">
        <v>311.66588999999999</v>
      </c>
      <c r="K72" s="2">
        <v>469</v>
      </c>
      <c r="L72" s="2">
        <v>292.32058999999998</v>
      </c>
      <c r="P72" s="2">
        <v>549</v>
      </c>
      <c r="Q72" s="7">
        <v>49522.428099999997</v>
      </c>
      <c r="S72" s="2">
        <v>469</v>
      </c>
      <c r="T72" s="2">
        <v>115233.62449</v>
      </c>
      <c r="V72" s="2">
        <v>689</v>
      </c>
      <c r="W72" s="2">
        <v>47701.336609999998</v>
      </c>
      <c r="Y72" s="2">
        <v>469</v>
      </c>
      <c r="Z72" s="2">
        <v>1680.9327800000001</v>
      </c>
      <c r="AD72" s="2">
        <v>549</v>
      </c>
      <c r="AE72" s="2">
        <v>39005.09691</v>
      </c>
      <c r="AG72" s="2">
        <v>549</v>
      </c>
      <c r="AH72" s="2">
        <v>37814.762909999998</v>
      </c>
    </row>
    <row r="73" spans="2:34" x14ac:dyDescent="0.2">
      <c r="B73" s="2">
        <v>550</v>
      </c>
      <c r="C73" s="2">
        <v>274.26101999999997</v>
      </c>
      <c r="E73" s="2">
        <v>690</v>
      </c>
      <c r="F73" s="2">
        <v>235.94301999999999</v>
      </c>
      <c r="H73" s="2">
        <v>470</v>
      </c>
      <c r="I73" s="2">
        <v>301.05239</v>
      </c>
      <c r="K73" s="2">
        <v>470</v>
      </c>
      <c r="L73" s="2">
        <v>272.02947</v>
      </c>
      <c r="P73" s="2">
        <v>550</v>
      </c>
      <c r="Q73" s="7">
        <v>47978.334190000001</v>
      </c>
      <c r="S73" s="2">
        <v>470</v>
      </c>
      <c r="T73" s="2">
        <v>118796.33788000001</v>
      </c>
      <c r="V73" s="2">
        <v>690</v>
      </c>
      <c r="W73" s="2">
        <v>46535.693350000001</v>
      </c>
      <c r="Y73" s="2">
        <v>470</v>
      </c>
      <c r="Z73" s="2">
        <v>1615.4817599999999</v>
      </c>
      <c r="AD73" s="2">
        <v>550</v>
      </c>
      <c r="AE73" s="2">
        <v>38134.157720000003</v>
      </c>
      <c r="AG73" s="2">
        <v>550</v>
      </c>
      <c r="AH73" s="2">
        <v>36524.168919999996</v>
      </c>
    </row>
    <row r="74" spans="2:34" x14ac:dyDescent="0.2">
      <c r="B74" s="2">
        <v>551</v>
      </c>
      <c r="C74" s="2">
        <v>327.65048000000002</v>
      </c>
      <c r="E74" s="2">
        <v>691</v>
      </c>
      <c r="F74" s="2">
        <v>100.04871</v>
      </c>
      <c r="H74" s="2">
        <v>471</v>
      </c>
      <c r="I74" s="2">
        <v>322.35998999999998</v>
      </c>
      <c r="K74" s="2">
        <v>471</v>
      </c>
      <c r="L74" s="2">
        <v>323.36111</v>
      </c>
      <c r="P74" s="2">
        <v>551</v>
      </c>
      <c r="Q74" s="7">
        <v>46634.903050000001</v>
      </c>
      <c r="S74" s="2">
        <v>471</v>
      </c>
      <c r="T74" s="2">
        <v>124283.14405</v>
      </c>
      <c r="V74" s="2">
        <v>691</v>
      </c>
      <c r="W74" s="2">
        <v>43011.641819999997</v>
      </c>
      <c r="Y74" s="2">
        <v>471</v>
      </c>
      <c r="Z74" s="2">
        <v>1633.50404</v>
      </c>
      <c r="AD74" s="2">
        <v>551</v>
      </c>
      <c r="AE74" s="2">
        <v>36830.342219999999</v>
      </c>
      <c r="AG74" s="2">
        <v>551</v>
      </c>
      <c r="AH74" s="2">
        <v>35943.39486</v>
      </c>
    </row>
    <row r="75" spans="2:34" x14ac:dyDescent="0.2">
      <c r="B75" s="2">
        <v>552</v>
      </c>
      <c r="C75" s="2">
        <v>282.53994</v>
      </c>
      <c r="E75" s="2">
        <v>692</v>
      </c>
      <c r="F75" s="2">
        <v>181.10885999999999</v>
      </c>
      <c r="H75" s="2">
        <v>472</v>
      </c>
      <c r="I75" s="2">
        <v>352.03316999999998</v>
      </c>
      <c r="K75" s="2">
        <v>472</v>
      </c>
      <c r="L75" s="2">
        <v>230.30605</v>
      </c>
      <c r="P75" s="2">
        <v>552</v>
      </c>
      <c r="Q75" s="7">
        <v>45017.247990000003</v>
      </c>
      <c r="S75" s="2">
        <v>472</v>
      </c>
      <c r="T75" s="2">
        <v>129535.96072</v>
      </c>
      <c r="V75" s="2">
        <v>692</v>
      </c>
      <c r="W75" s="2">
        <v>42695.553699999997</v>
      </c>
      <c r="Y75" s="2">
        <v>472</v>
      </c>
      <c r="Z75" s="2">
        <v>1798.30215</v>
      </c>
      <c r="AD75" s="2">
        <v>552</v>
      </c>
      <c r="AE75" s="2">
        <v>35638.616090000003</v>
      </c>
      <c r="AG75" s="2">
        <v>552</v>
      </c>
      <c r="AH75" s="2">
        <v>34931.259700000002</v>
      </c>
    </row>
    <row r="76" spans="2:34" x14ac:dyDescent="0.2">
      <c r="B76" s="2">
        <v>553</v>
      </c>
      <c r="C76" s="2">
        <v>340.4348</v>
      </c>
      <c r="E76" s="2">
        <v>693</v>
      </c>
      <c r="F76" s="2">
        <v>255.28244000000001</v>
      </c>
      <c r="H76" s="2">
        <v>473</v>
      </c>
      <c r="I76" s="2">
        <v>360.38364999999999</v>
      </c>
      <c r="K76" s="2">
        <v>473</v>
      </c>
      <c r="L76" s="2">
        <v>362.84962000000002</v>
      </c>
      <c r="P76" s="2">
        <v>553</v>
      </c>
      <c r="Q76" s="7">
        <v>44166.672760000001</v>
      </c>
      <c r="S76" s="2">
        <v>473</v>
      </c>
      <c r="T76" s="2">
        <v>134721.61603</v>
      </c>
      <c r="V76" s="2">
        <v>693</v>
      </c>
      <c r="W76" s="2">
        <v>40916.839780000002</v>
      </c>
      <c r="Y76" s="2">
        <v>473</v>
      </c>
      <c r="Z76" s="2">
        <v>1724.0686000000001</v>
      </c>
      <c r="AD76" s="2">
        <v>553</v>
      </c>
      <c r="AE76" s="2">
        <v>34824.680800000002</v>
      </c>
      <c r="AG76" s="2">
        <v>553</v>
      </c>
      <c r="AH76" s="2">
        <v>34303.163260000001</v>
      </c>
    </row>
    <row r="77" spans="2:34" x14ac:dyDescent="0.2">
      <c r="B77" s="2">
        <v>554</v>
      </c>
      <c r="C77" s="2">
        <v>415.24914000000001</v>
      </c>
      <c r="E77" s="2">
        <v>694</v>
      </c>
      <c r="F77" s="2">
        <v>204.21592999999999</v>
      </c>
      <c r="H77" s="2">
        <v>474</v>
      </c>
      <c r="I77" s="2">
        <v>372.47237999999999</v>
      </c>
      <c r="K77" s="2">
        <v>474</v>
      </c>
      <c r="L77" s="2">
        <v>167.45867000000001</v>
      </c>
      <c r="P77" s="2">
        <v>554</v>
      </c>
      <c r="Q77" s="7">
        <v>42376.827080000003</v>
      </c>
      <c r="S77" s="2">
        <v>474</v>
      </c>
      <c r="T77" s="2">
        <v>141572.44912</v>
      </c>
      <c r="V77" s="2">
        <v>694</v>
      </c>
      <c r="W77" s="2">
        <v>39932.65696</v>
      </c>
      <c r="Y77" s="2">
        <v>474</v>
      </c>
      <c r="Z77" s="2">
        <v>1958.58149</v>
      </c>
      <c r="AD77" s="2">
        <v>554</v>
      </c>
      <c r="AE77" s="2">
        <v>34599.559209999999</v>
      </c>
      <c r="AG77" s="2">
        <v>554</v>
      </c>
      <c r="AH77" s="2">
        <v>32742.66576</v>
      </c>
    </row>
    <row r="78" spans="2:34" x14ac:dyDescent="0.2">
      <c r="B78" s="2">
        <v>555</v>
      </c>
      <c r="C78" s="2">
        <v>424.46231</v>
      </c>
      <c r="E78" s="2">
        <v>695</v>
      </c>
      <c r="F78" s="2">
        <v>114.94687</v>
      </c>
      <c r="H78" s="2">
        <v>475</v>
      </c>
      <c r="I78" s="2">
        <v>385.70415000000003</v>
      </c>
      <c r="K78" s="2">
        <v>475</v>
      </c>
      <c r="L78" s="2">
        <v>424.02014000000003</v>
      </c>
      <c r="P78" s="2">
        <v>555</v>
      </c>
      <c r="Q78" s="7">
        <v>41955.548210000001</v>
      </c>
      <c r="S78" s="2">
        <v>475</v>
      </c>
      <c r="T78" s="2">
        <v>146954.58356</v>
      </c>
      <c r="V78" s="2">
        <v>695</v>
      </c>
      <c r="W78" s="2">
        <v>36582.404900000001</v>
      </c>
      <c r="Y78" s="2">
        <v>475</v>
      </c>
      <c r="Z78" s="2">
        <v>1942.00864</v>
      </c>
      <c r="AD78" s="2">
        <v>555</v>
      </c>
      <c r="AE78" s="2">
        <v>33167.029540000003</v>
      </c>
      <c r="AG78" s="2">
        <v>555</v>
      </c>
      <c r="AH78" s="2">
        <v>32109.139210000001</v>
      </c>
    </row>
    <row r="79" spans="2:34" x14ac:dyDescent="0.2">
      <c r="B79" s="2">
        <v>556</v>
      </c>
      <c r="C79" s="2">
        <v>408.59848</v>
      </c>
      <c r="E79" s="2">
        <v>696</v>
      </c>
      <c r="F79" s="2">
        <v>116.56198999999999</v>
      </c>
      <c r="H79" s="2">
        <v>476</v>
      </c>
      <c r="I79" s="2">
        <v>362.34780999999998</v>
      </c>
      <c r="K79" s="2">
        <v>476</v>
      </c>
      <c r="L79" s="2">
        <v>417.75301000000002</v>
      </c>
      <c r="P79" s="2">
        <v>556</v>
      </c>
      <c r="Q79" s="7">
        <v>40293.2762</v>
      </c>
      <c r="S79" s="2">
        <v>476</v>
      </c>
      <c r="T79" s="2">
        <v>154748.35436999999</v>
      </c>
      <c r="V79" s="2">
        <v>696</v>
      </c>
      <c r="W79" s="2">
        <v>34395.529560000003</v>
      </c>
      <c r="Y79" s="2">
        <v>476</v>
      </c>
      <c r="Z79" s="2">
        <v>2030.42482</v>
      </c>
      <c r="AD79" s="2">
        <v>556</v>
      </c>
      <c r="AE79" s="2">
        <v>32043.368610000001</v>
      </c>
      <c r="AG79" s="2">
        <v>556</v>
      </c>
      <c r="AH79" s="2">
        <v>31289.16864</v>
      </c>
    </row>
    <row r="80" spans="2:34" x14ac:dyDescent="0.2">
      <c r="B80" s="2">
        <v>557</v>
      </c>
      <c r="C80" s="2">
        <v>409.67439000000002</v>
      </c>
      <c r="E80" s="2">
        <v>697</v>
      </c>
      <c r="F80" s="2">
        <v>354.22158999999999</v>
      </c>
      <c r="H80" s="2">
        <v>477</v>
      </c>
      <c r="I80" s="2">
        <v>305.8349</v>
      </c>
      <c r="K80" s="2">
        <v>477</v>
      </c>
      <c r="L80" s="2">
        <v>198.83396999999999</v>
      </c>
      <c r="P80" s="2">
        <v>557</v>
      </c>
      <c r="Q80" s="7">
        <v>39285.260719999998</v>
      </c>
      <c r="S80" s="2">
        <v>477</v>
      </c>
      <c r="T80" s="2">
        <v>162842.81943</v>
      </c>
      <c r="V80" s="2">
        <v>697</v>
      </c>
      <c r="W80" s="2">
        <v>34501.094290000001</v>
      </c>
      <c r="Y80" s="2">
        <v>477</v>
      </c>
      <c r="Z80" s="2">
        <v>1937.82617</v>
      </c>
      <c r="AD80" s="2">
        <v>557</v>
      </c>
      <c r="AE80" s="2">
        <v>31492.991720000002</v>
      </c>
      <c r="AG80" s="2">
        <v>557</v>
      </c>
      <c r="AH80" s="2">
        <v>30182.114959999999</v>
      </c>
    </row>
    <row r="81" spans="2:34" x14ac:dyDescent="0.2">
      <c r="B81" s="2">
        <v>558</v>
      </c>
      <c r="C81" s="2">
        <v>435.23822000000001</v>
      </c>
      <c r="E81" s="2">
        <v>698</v>
      </c>
      <c r="F81" s="2">
        <v>176.88565</v>
      </c>
      <c r="H81" s="2">
        <v>478</v>
      </c>
      <c r="I81" s="2">
        <v>319.27174000000002</v>
      </c>
      <c r="K81" s="2">
        <v>478</v>
      </c>
      <c r="L81" s="2">
        <v>313.93365</v>
      </c>
      <c r="P81" s="2">
        <v>558</v>
      </c>
      <c r="Q81" s="7">
        <v>38424.147839999998</v>
      </c>
      <c r="S81" s="2">
        <v>478</v>
      </c>
      <c r="T81" s="2">
        <v>171776.46296</v>
      </c>
      <c r="V81" s="2">
        <v>698</v>
      </c>
      <c r="W81" s="2">
        <v>33549.30704</v>
      </c>
      <c r="Y81" s="2">
        <v>478</v>
      </c>
      <c r="Z81" s="2">
        <v>2348.3847999999998</v>
      </c>
      <c r="AD81" s="2">
        <v>558</v>
      </c>
      <c r="AE81" s="2">
        <v>30304.44166</v>
      </c>
      <c r="AG81" s="2">
        <v>558</v>
      </c>
      <c r="AH81" s="2">
        <v>29516.417570000001</v>
      </c>
    </row>
    <row r="82" spans="2:34" x14ac:dyDescent="0.2">
      <c r="B82" s="2">
        <v>559</v>
      </c>
      <c r="C82" s="2">
        <v>426.36507999999998</v>
      </c>
      <c r="E82" s="2">
        <v>699</v>
      </c>
      <c r="F82" s="2">
        <v>-4.8506099999999996</v>
      </c>
      <c r="H82" s="2">
        <v>479</v>
      </c>
      <c r="I82" s="2">
        <v>289.41734000000002</v>
      </c>
      <c r="K82" s="2">
        <v>479</v>
      </c>
      <c r="L82" s="2">
        <v>277.09811000000002</v>
      </c>
      <c r="P82" s="2">
        <v>559</v>
      </c>
      <c r="Q82" s="7">
        <v>37012.968410000001</v>
      </c>
      <c r="S82" s="2">
        <v>479</v>
      </c>
      <c r="T82" s="2">
        <v>181494.30337000001</v>
      </c>
      <c r="V82" s="2">
        <v>699</v>
      </c>
      <c r="W82" s="2">
        <v>32250.074250000001</v>
      </c>
      <c r="Y82" s="2">
        <v>479</v>
      </c>
      <c r="Z82" s="2">
        <v>2568.76451</v>
      </c>
      <c r="AD82" s="2">
        <v>559</v>
      </c>
      <c r="AE82" s="2">
        <v>29546.989539999999</v>
      </c>
      <c r="AG82" s="2">
        <v>559</v>
      </c>
      <c r="AH82" s="2">
        <v>28323.3835</v>
      </c>
    </row>
    <row r="83" spans="2:34" x14ac:dyDescent="0.2">
      <c r="B83" s="2">
        <v>560</v>
      </c>
      <c r="C83" s="2">
        <v>436.92149000000001</v>
      </c>
      <c r="E83" s="2">
        <v>700</v>
      </c>
      <c r="F83" s="2">
        <v>24.519179999999999</v>
      </c>
      <c r="H83" s="2">
        <v>480</v>
      </c>
      <c r="I83" s="2">
        <v>264.98835000000003</v>
      </c>
      <c r="K83" s="2">
        <v>480</v>
      </c>
      <c r="L83" s="2">
        <v>220.84950000000001</v>
      </c>
      <c r="P83" s="2">
        <v>560</v>
      </c>
      <c r="Q83" s="7">
        <v>35463.26814</v>
      </c>
      <c r="S83" s="2">
        <v>480</v>
      </c>
      <c r="T83" s="2">
        <v>188671.89993000001</v>
      </c>
      <c r="V83" s="2">
        <v>700</v>
      </c>
      <c r="W83" s="2">
        <v>31084.732069999998</v>
      </c>
      <c r="Y83" s="2">
        <v>480</v>
      </c>
      <c r="Z83" s="2">
        <v>2415.3734899999999</v>
      </c>
      <c r="AD83" s="2">
        <v>560</v>
      </c>
      <c r="AE83" s="2">
        <v>28545.109960000002</v>
      </c>
      <c r="AG83" s="2">
        <v>560</v>
      </c>
      <c r="AH83" s="2">
        <v>27587.470669999999</v>
      </c>
    </row>
    <row r="84" spans="2:34" x14ac:dyDescent="0.2">
      <c r="B84" s="2">
        <v>561</v>
      </c>
      <c r="C84" s="2">
        <v>503.72388999999998</v>
      </c>
      <c r="E84" s="2">
        <v>701</v>
      </c>
      <c r="F84" s="2">
        <v>352.65436999999997</v>
      </c>
      <c r="H84" s="2">
        <v>481</v>
      </c>
      <c r="I84" s="2">
        <v>267.77330999999998</v>
      </c>
      <c r="K84" s="2">
        <v>481</v>
      </c>
      <c r="L84" s="2">
        <v>237.36158</v>
      </c>
      <c r="P84" s="2">
        <v>561</v>
      </c>
      <c r="Q84" s="7">
        <v>35019.889020000002</v>
      </c>
      <c r="S84" s="2">
        <v>481</v>
      </c>
      <c r="T84" s="2">
        <v>196554.72510000001</v>
      </c>
      <c r="V84" s="2">
        <v>701</v>
      </c>
      <c r="W84" s="2">
        <v>31296.255440000001</v>
      </c>
      <c r="Y84" s="2">
        <v>481</v>
      </c>
      <c r="Z84" s="2">
        <v>2457.09584</v>
      </c>
      <c r="AD84" s="2">
        <v>561</v>
      </c>
      <c r="AE84" s="2">
        <v>27583.015520000001</v>
      </c>
      <c r="AG84" s="2">
        <v>561</v>
      </c>
      <c r="AH84" s="2">
        <v>26873.69699</v>
      </c>
    </row>
    <row r="85" spans="2:34" x14ac:dyDescent="0.2">
      <c r="B85" s="2">
        <v>562</v>
      </c>
      <c r="C85" s="2">
        <v>405.88225</v>
      </c>
      <c r="E85" s="2">
        <v>702</v>
      </c>
      <c r="F85" s="2">
        <v>206.70867000000001</v>
      </c>
      <c r="H85" s="2">
        <v>482</v>
      </c>
      <c r="I85" s="2">
        <v>245.17233999999999</v>
      </c>
      <c r="K85" s="2">
        <v>482</v>
      </c>
      <c r="L85" s="2">
        <v>354.05203</v>
      </c>
      <c r="P85" s="2">
        <v>562</v>
      </c>
      <c r="Q85" s="7">
        <v>33741.565719999999</v>
      </c>
      <c r="S85" s="2">
        <v>482</v>
      </c>
      <c r="T85" s="2">
        <v>205611.25029</v>
      </c>
      <c r="V85" s="2">
        <v>702</v>
      </c>
      <c r="W85" s="2">
        <v>29586.954699999998</v>
      </c>
      <c r="Y85" s="2">
        <v>482</v>
      </c>
      <c r="Z85" s="2">
        <v>2445.98344</v>
      </c>
      <c r="AD85" s="2">
        <v>562</v>
      </c>
      <c r="AE85" s="2">
        <v>26623.593970000002</v>
      </c>
      <c r="AG85" s="2">
        <v>562</v>
      </c>
      <c r="AH85" s="2">
        <v>25587.630209999999</v>
      </c>
    </row>
    <row r="86" spans="2:34" x14ac:dyDescent="0.2">
      <c r="B86" s="2">
        <v>563</v>
      </c>
      <c r="C86" s="2">
        <v>429.86766</v>
      </c>
      <c r="E86" s="2">
        <v>703</v>
      </c>
      <c r="F86" s="2">
        <v>56.263689999999997</v>
      </c>
      <c r="H86" s="2">
        <v>483</v>
      </c>
      <c r="I86" s="2">
        <v>302.47575999999998</v>
      </c>
      <c r="K86" s="2">
        <v>483</v>
      </c>
      <c r="L86" s="2">
        <v>323.3356</v>
      </c>
      <c r="P86" s="2">
        <v>563</v>
      </c>
      <c r="Q86" s="7">
        <v>32189.72681</v>
      </c>
      <c r="S86" s="2">
        <v>483</v>
      </c>
      <c r="T86" s="2">
        <v>212613.29253999999</v>
      </c>
      <c r="V86" s="2">
        <v>703</v>
      </c>
      <c r="W86" s="2">
        <v>29519.38306</v>
      </c>
      <c r="Y86" s="2">
        <v>483</v>
      </c>
      <c r="Z86" s="2">
        <v>2970.8513499999999</v>
      </c>
      <c r="AD86" s="2">
        <v>563</v>
      </c>
      <c r="AE86" s="2">
        <v>26242.37254</v>
      </c>
      <c r="AG86" s="2">
        <v>563</v>
      </c>
      <c r="AH86" s="2">
        <v>25059.94988</v>
      </c>
    </row>
    <row r="87" spans="2:34" x14ac:dyDescent="0.2">
      <c r="B87" s="2">
        <v>564</v>
      </c>
      <c r="C87" s="2">
        <v>427.48253</v>
      </c>
      <c r="E87" s="2">
        <v>704</v>
      </c>
      <c r="F87" s="2">
        <v>77.783910000000006</v>
      </c>
      <c r="H87" s="2">
        <v>484</v>
      </c>
      <c r="I87" s="2">
        <v>362.18284999999997</v>
      </c>
      <c r="K87" s="2">
        <v>484</v>
      </c>
      <c r="L87" s="2">
        <v>160.89694</v>
      </c>
      <c r="P87" s="2">
        <v>564</v>
      </c>
      <c r="Q87" s="7">
        <v>31613.86419</v>
      </c>
      <c r="S87" s="2">
        <v>484</v>
      </c>
      <c r="T87" s="2">
        <v>220776.94850999999</v>
      </c>
      <c r="V87" s="2">
        <v>704</v>
      </c>
      <c r="W87" s="2">
        <v>28788.749189999999</v>
      </c>
      <c r="Y87" s="2">
        <v>484</v>
      </c>
      <c r="Z87" s="2">
        <v>2819.4586300000001</v>
      </c>
      <c r="AD87" s="2">
        <v>564</v>
      </c>
      <c r="AE87" s="2">
        <v>25043.808519999999</v>
      </c>
      <c r="AG87" s="2">
        <v>564</v>
      </c>
      <c r="AH87" s="2">
        <v>24347.77954</v>
      </c>
    </row>
    <row r="88" spans="2:34" x14ac:dyDescent="0.2">
      <c r="B88" s="2">
        <v>565</v>
      </c>
      <c r="C88" s="2">
        <v>370.81902000000002</v>
      </c>
      <c r="E88" s="2">
        <v>705</v>
      </c>
      <c r="F88" s="2">
        <v>288.76215999999999</v>
      </c>
      <c r="H88" s="2">
        <v>485</v>
      </c>
      <c r="I88" s="2">
        <v>312.8442</v>
      </c>
      <c r="K88" s="2">
        <v>485</v>
      </c>
      <c r="L88" s="2">
        <v>266.10530999999997</v>
      </c>
      <c r="P88" s="2">
        <v>565</v>
      </c>
      <c r="Q88" s="7">
        <v>30420.814600000002</v>
      </c>
      <c r="S88" s="2">
        <v>485</v>
      </c>
      <c r="T88" s="2">
        <v>228897.95994999999</v>
      </c>
      <c r="V88" s="2">
        <v>705</v>
      </c>
      <c r="W88" s="2">
        <v>28183.16661</v>
      </c>
      <c r="Y88" s="2">
        <v>485</v>
      </c>
      <c r="Z88" s="2">
        <v>2886.8267900000001</v>
      </c>
      <c r="AD88" s="2">
        <v>565</v>
      </c>
      <c r="AE88" s="2">
        <v>24356.85153</v>
      </c>
      <c r="AG88" s="2">
        <v>565</v>
      </c>
      <c r="AH88" s="2">
        <v>23039.926019999999</v>
      </c>
    </row>
    <row r="89" spans="2:34" x14ac:dyDescent="0.2">
      <c r="B89" s="2">
        <v>566</v>
      </c>
      <c r="C89" s="2">
        <v>335.94358</v>
      </c>
      <c r="E89" s="2">
        <v>706</v>
      </c>
      <c r="F89" s="2">
        <v>133.30231000000001</v>
      </c>
      <c r="H89" s="2">
        <v>486</v>
      </c>
      <c r="I89" s="2">
        <v>283.07391999999999</v>
      </c>
      <c r="K89" s="2">
        <v>486</v>
      </c>
      <c r="L89" s="2">
        <v>367.96694000000002</v>
      </c>
      <c r="P89" s="2">
        <v>566</v>
      </c>
      <c r="Q89" s="7">
        <v>29625.533530000001</v>
      </c>
      <c r="S89" s="2">
        <v>486</v>
      </c>
      <c r="T89" s="2">
        <v>234549.67507</v>
      </c>
      <c r="V89" s="2">
        <v>706</v>
      </c>
      <c r="W89" s="2">
        <v>27301.780289999999</v>
      </c>
      <c r="Y89" s="2">
        <v>486</v>
      </c>
      <c r="Z89" s="2">
        <v>2898.1642900000002</v>
      </c>
      <c r="AD89" s="2">
        <v>566</v>
      </c>
      <c r="AE89" s="2">
        <v>23157.306039999999</v>
      </c>
      <c r="AG89" s="2">
        <v>566</v>
      </c>
      <c r="AH89" s="2">
        <v>22490.834279999999</v>
      </c>
    </row>
    <row r="90" spans="2:34" x14ac:dyDescent="0.2">
      <c r="B90" s="2">
        <v>567</v>
      </c>
      <c r="C90" s="2">
        <v>344.45015000000001</v>
      </c>
      <c r="E90" s="2">
        <v>707</v>
      </c>
      <c r="F90" s="2">
        <v>405.53525000000002</v>
      </c>
      <c r="H90" s="2">
        <v>487</v>
      </c>
      <c r="I90" s="2">
        <v>315.21267999999998</v>
      </c>
      <c r="K90" s="2">
        <v>487</v>
      </c>
      <c r="L90" s="2">
        <v>262.40503999999999</v>
      </c>
      <c r="P90" s="2">
        <v>567</v>
      </c>
      <c r="Q90" s="7">
        <v>29004.022540000002</v>
      </c>
      <c r="S90" s="2">
        <v>487</v>
      </c>
      <c r="T90" s="2">
        <v>240641.44991</v>
      </c>
      <c r="V90" s="2">
        <v>707</v>
      </c>
      <c r="W90" s="2">
        <v>26166.39084</v>
      </c>
      <c r="Y90" s="2">
        <v>487</v>
      </c>
      <c r="Z90" s="2">
        <v>3476</v>
      </c>
      <c r="AD90" s="2">
        <v>567</v>
      </c>
      <c r="AE90" s="2">
        <v>22206.316429999999</v>
      </c>
      <c r="AG90" s="2">
        <v>567</v>
      </c>
      <c r="AH90" s="2">
        <v>21643.17038</v>
      </c>
    </row>
    <row r="91" spans="2:34" x14ac:dyDescent="0.2">
      <c r="B91" s="2">
        <v>568</v>
      </c>
      <c r="C91" s="2">
        <v>285.11374000000001</v>
      </c>
      <c r="E91" s="2">
        <v>708</v>
      </c>
      <c r="F91" s="2">
        <v>410.94195000000002</v>
      </c>
      <c r="H91" s="2">
        <v>488</v>
      </c>
      <c r="I91" s="2">
        <v>349.16608000000002</v>
      </c>
      <c r="K91" s="2">
        <v>488</v>
      </c>
      <c r="L91" s="2">
        <v>512.70330000000001</v>
      </c>
      <c r="P91" s="2">
        <v>568</v>
      </c>
      <c r="Q91" s="7">
        <v>27556.451160000001</v>
      </c>
      <c r="S91" s="2">
        <v>488</v>
      </c>
      <c r="T91" s="2">
        <v>245402.37254000001</v>
      </c>
      <c r="V91" s="2">
        <v>708</v>
      </c>
      <c r="W91" s="2">
        <v>26537.91562</v>
      </c>
      <c r="Y91" s="2">
        <v>488</v>
      </c>
      <c r="Z91" s="2">
        <v>3594.3487</v>
      </c>
      <c r="AD91" s="2">
        <v>568</v>
      </c>
      <c r="AE91" s="2">
        <v>21509.91187</v>
      </c>
      <c r="AG91" s="2">
        <v>568</v>
      </c>
      <c r="AH91" s="2">
        <v>20948.613730000001</v>
      </c>
    </row>
    <row r="92" spans="2:34" x14ac:dyDescent="0.2">
      <c r="B92" s="2">
        <v>569</v>
      </c>
      <c r="C92" s="2">
        <v>316.17527999999999</v>
      </c>
      <c r="E92" s="2">
        <v>709</v>
      </c>
      <c r="F92" s="2">
        <v>216.67224999999999</v>
      </c>
      <c r="H92" s="2">
        <v>489</v>
      </c>
      <c r="I92" s="2">
        <v>350.34917999999999</v>
      </c>
      <c r="K92" s="2">
        <v>489</v>
      </c>
      <c r="L92" s="2">
        <v>282.29340000000002</v>
      </c>
      <c r="P92" s="2">
        <v>569</v>
      </c>
      <c r="Q92" s="7">
        <v>26292.85699</v>
      </c>
      <c r="S92" s="2">
        <v>489</v>
      </c>
      <c r="T92" s="2">
        <v>248397.75724000001</v>
      </c>
      <c r="V92" s="2">
        <v>709</v>
      </c>
      <c r="W92" s="2">
        <v>25952.79235</v>
      </c>
      <c r="Y92" s="2">
        <v>489</v>
      </c>
      <c r="Z92" s="2">
        <v>3430.8098</v>
      </c>
      <c r="AD92" s="2">
        <v>569</v>
      </c>
      <c r="AE92" s="2">
        <v>20673.084589999999</v>
      </c>
      <c r="AG92" s="2">
        <v>569</v>
      </c>
      <c r="AH92" s="2">
        <v>19961.060600000001</v>
      </c>
    </row>
    <row r="93" spans="2:34" x14ac:dyDescent="0.2">
      <c r="B93" s="2">
        <v>570</v>
      </c>
      <c r="C93" s="2">
        <v>325.42061999999999</v>
      </c>
      <c r="E93" s="2">
        <v>710</v>
      </c>
      <c r="F93" s="2">
        <v>208.22057000000001</v>
      </c>
      <c r="H93" s="2">
        <v>490</v>
      </c>
      <c r="I93" s="2">
        <v>356.55547000000001</v>
      </c>
      <c r="K93" s="2">
        <v>490</v>
      </c>
      <c r="L93" s="2">
        <v>188.90806000000001</v>
      </c>
      <c r="P93" s="2">
        <v>570</v>
      </c>
      <c r="Q93" s="7">
        <v>25197.546760000001</v>
      </c>
      <c r="S93" s="2">
        <v>490</v>
      </c>
      <c r="T93" s="2">
        <v>251648.29612000001</v>
      </c>
      <c r="V93" s="2">
        <v>710</v>
      </c>
      <c r="W93" s="2">
        <v>24716.230609999999</v>
      </c>
      <c r="Y93" s="2">
        <v>490</v>
      </c>
      <c r="Z93" s="2">
        <v>3146.88393</v>
      </c>
      <c r="AD93" s="2">
        <v>570</v>
      </c>
      <c r="AE93" s="2">
        <v>19892.483909999999</v>
      </c>
      <c r="AG93" s="2">
        <v>570</v>
      </c>
      <c r="AH93" s="2">
        <v>19106.89345</v>
      </c>
    </row>
    <row r="94" spans="2:34" x14ac:dyDescent="0.2">
      <c r="B94" s="2">
        <v>571</v>
      </c>
      <c r="C94" s="2">
        <v>270.81202999999999</v>
      </c>
      <c r="E94" s="2">
        <v>711</v>
      </c>
      <c r="F94" s="2">
        <v>371.46895999999998</v>
      </c>
      <c r="H94" s="2">
        <v>491</v>
      </c>
      <c r="I94" s="2">
        <v>380.25763999999998</v>
      </c>
      <c r="K94" s="2">
        <v>491</v>
      </c>
      <c r="L94" s="2">
        <v>247.39725999999999</v>
      </c>
      <c r="P94" s="2">
        <v>571</v>
      </c>
      <c r="Q94" s="7">
        <v>24427.356250000001</v>
      </c>
      <c r="S94" s="2">
        <v>491</v>
      </c>
      <c r="T94" s="2">
        <v>255743.34985</v>
      </c>
      <c r="V94" s="2">
        <v>711</v>
      </c>
      <c r="W94" s="2">
        <v>26074.083009999998</v>
      </c>
      <c r="Y94" s="2">
        <v>491</v>
      </c>
      <c r="Z94" s="2">
        <v>3883.4742299999998</v>
      </c>
      <c r="AD94" s="2">
        <v>571</v>
      </c>
      <c r="AE94" s="2">
        <v>18957.01413</v>
      </c>
      <c r="AG94" s="2">
        <v>571</v>
      </c>
      <c r="AH94" s="2">
        <v>18439.532279999999</v>
      </c>
    </row>
    <row r="95" spans="2:34" x14ac:dyDescent="0.2">
      <c r="B95" s="2">
        <v>572</v>
      </c>
      <c r="C95" s="2">
        <v>247.98136</v>
      </c>
      <c r="E95" s="2">
        <v>712</v>
      </c>
      <c r="F95" s="2">
        <v>191.75567000000001</v>
      </c>
      <c r="H95" s="2">
        <v>492</v>
      </c>
      <c r="I95" s="2">
        <v>333.64521999999999</v>
      </c>
      <c r="K95" s="2">
        <v>492</v>
      </c>
      <c r="L95" s="2">
        <v>460.62027</v>
      </c>
      <c r="P95" s="2">
        <v>572</v>
      </c>
      <c r="Q95" s="7">
        <v>23823.247169999999</v>
      </c>
      <c r="S95" s="2">
        <v>492</v>
      </c>
      <c r="T95" s="2">
        <v>253397.22323</v>
      </c>
      <c r="V95" s="2">
        <v>712</v>
      </c>
      <c r="W95" s="2">
        <v>24679.095700000002</v>
      </c>
      <c r="Y95" s="2">
        <v>492</v>
      </c>
      <c r="Z95" s="2">
        <v>3973.4818300000002</v>
      </c>
      <c r="AD95" s="2">
        <v>572</v>
      </c>
      <c r="AE95" s="2">
        <v>18498.90425</v>
      </c>
      <c r="AG95" s="2">
        <v>572</v>
      </c>
      <c r="AH95" s="2">
        <v>17740.258239999999</v>
      </c>
    </row>
    <row r="96" spans="2:34" x14ac:dyDescent="0.2">
      <c r="B96" s="2">
        <v>573</v>
      </c>
      <c r="C96" s="2">
        <v>247.98648</v>
      </c>
      <c r="E96" s="2">
        <v>713</v>
      </c>
      <c r="F96" s="2">
        <v>382.96003000000002</v>
      </c>
      <c r="H96" s="2">
        <v>493</v>
      </c>
      <c r="I96" s="2">
        <v>359.54210999999998</v>
      </c>
      <c r="K96" s="2">
        <v>493</v>
      </c>
      <c r="L96" s="2">
        <v>333.28215999999998</v>
      </c>
      <c r="P96" s="2">
        <v>573</v>
      </c>
      <c r="Q96" s="7">
        <v>22608.879929999999</v>
      </c>
      <c r="S96" s="2">
        <v>493</v>
      </c>
      <c r="T96" s="2">
        <v>249944.96436000001</v>
      </c>
      <c r="V96" s="2">
        <v>713</v>
      </c>
      <c r="W96" s="2">
        <v>24696.19299</v>
      </c>
      <c r="Y96" s="2">
        <v>493</v>
      </c>
      <c r="Z96" s="2">
        <v>4112.75227</v>
      </c>
      <c r="AD96" s="2">
        <v>573</v>
      </c>
      <c r="AE96" s="2">
        <v>17674.49927</v>
      </c>
      <c r="AG96" s="2">
        <v>573</v>
      </c>
      <c r="AH96" s="2">
        <v>16874.62341</v>
      </c>
    </row>
    <row r="97" spans="2:34" x14ac:dyDescent="0.2">
      <c r="B97" s="2">
        <v>574</v>
      </c>
      <c r="C97" s="2">
        <v>187.71929</v>
      </c>
      <c r="E97" s="2">
        <v>714</v>
      </c>
      <c r="F97" s="2">
        <v>245.13057000000001</v>
      </c>
      <c r="H97" s="2">
        <v>494</v>
      </c>
      <c r="I97" s="2">
        <v>359.31657999999999</v>
      </c>
      <c r="K97" s="2">
        <v>494</v>
      </c>
      <c r="L97" s="2">
        <v>380.94612999999998</v>
      </c>
      <c r="P97" s="2">
        <v>574</v>
      </c>
      <c r="Q97" s="7">
        <v>21617.486649999999</v>
      </c>
      <c r="S97" s="2">
        <v>494</v>
      </c>
      <c r="T97" s="2">
        <v>246164.16703000001</v>
      </c>
      <c r="V97" s="2">
        <v>714</v>
      </c>
      <c r="W97" s="2">
        <v>24798.654699999999</v>
      </c>
      <c r="Y97" s="2">
        <v>494</v>
      </c>
      <c r="Z97" s="2">
        <v>4094.02531</v>
      </c>
      <c r="AD97" s="2">
        <v>574</v>
      </c>
      <c r="AE97" s="2">
        <v>16701.843099999998</v>
      </c>
      <c r="AG97" s="2">
        <v>574</v>
      </c>
      <c r="AH97" s="2">
        <v>16474.21874</v>
      </c>
    </row>
    <row r="98" spans="2:34" x14ac:dyDescent="0.2">
      <c r="B98" s="2">
        <v>575</v>
      </c>
      <c r="C98" s="2">
        <v>263.49254000000002</v>
      </c>
      <c r="E98" s="2">
        <v>715</v>
      </c>
      <c r="F98" s="2">
        <v>442.11311999999998</v>
      </c>
      <c r="H98" s="2">
        <v>495</v>
      </c>
      <c r="I98" s="2">
        <v>400.98716000000002</v>
      </c>
      <c r="K98" s="2">
        <v>495</v>
      </c>
      <c r="L98" s="2">
        <v>431.23083000000003</v>
      </c>
      <c r="P98" s="2">
        <v>575</v>
      </c>
      <c r="Q98" s="7">
        <v>21015.969659999999</v>
      </c>
      <c r="S98" s="2">
        <v>495</v>
      </c>
      <c r="T98" s="2">
        <v>239616.09286</v>
      </c>
      <c r="V98" s="2">
        <v>715</v>
      </c>
      <c r="W98" s="2">
        <v>24504.260010000002</v>
      </c>
      <c r="Y98" s="2">
        <v>495</v>
      </c>
      <c r="Z98" s="2">
        <v>4626.5457100000003</v>
      </c>
      <c r="AD98" s="2">
        <v>575</v>
      </c>
      <c r="AE98" s="2">
        <v>16133.89589</v>
      </c>
      <c r="AG98" s="2">
        <v>575</v>
      </c>
      <c r="AH98" s="2">
        <v>15548.21644</v>
      </c>
    </row>
    <row r="99" spans="2:34" x14ac:dyDescent="0.2">
      <c r="B99" s="2">
        <v>576</v>
      </c>
      <c r="C99" s="2">
        <v>190.78806</v>
      </c>
      <c r="E99" s="2">
        <v>716</v>
      </c>
      <c r="F99" s="2">
        <v>510.54378000000003</v>
      </c>
      <c r="H99" s="2">
        <v>496</v>
      </c>
      <c r="I99" s="2">
        <v>386.02105</v>
      </c>
      <c r="K99" s="2">
        <v>496</v>
      </c>
      <c r="L99" s="2">
        <v>400.29917</v>
      </c>
      <c r="P99" s="2">
        <v>576</v>
      </c>
      <c r="Q99" s="7">
        <v>20044.492760000001</v>
      </c>
      <c r="S99" s="2">
        <v>496</v>
      </c>
      <c r="T99" s="2">
        <v>232978.60983</v>
      </c>
      <c r="V99" s="2">
        <v>716</v>
      </c>
      <c r="W99" s="2">
        <v>24027.91617</v>
      </c>
      <c r="Y99" s="2">
        <v>496</v>
      </c>
      <c r="Z99" s="2">
        <v>4396.5072600000003</v>
      </c>
      <c r="AD99" s="2">
        <v>576</v>
      </c>
      <c r="AE99" s="2">
        <v>15713.97579</v>
      </c>
      <c r="AG99" s="2">
        <v>576</v>
      </c>
      <c r="AH99" s="2">
        <v>15143.07058</v>
      </c>
    </row>
    <row r="100" spans="2:34" x14ac:dyDescent="0.2">
      <c r="B100" s="2">
        <v>577</v>
      </c>
      <c r="C100" s="2">
        <v>220.33826999999999</v>
      </c>
      <c r="E100" s="2">
        <v>717</v>
      </c>
      <c r="F100" s="2">
        <v>81.233019999999996</v>
      </c>
      <c r="H100" s="2">
        <v>497</v>
      </c>
      <c r="I100" s="2">
        <v>431.54367000000002</v>
      </c>
      <c r="K100" s="2">
        <v>497</v>
      </c>
      <c r="L100" s="2">
        <v>174.10953000000001</v>
      </c>
      <c r="P100" s="2">
        <v>577</v>
      </c>
      <c r="Q100" s="7">
        <v>19346.93909</v>
      </c>
      <c r="S100" s="2">
        <v>497</v>
      </c>
      <c r="T100" s="2">
        <v>223521.00928999999</v>
      </c>
      <c r="V100" s="2">
        <v>717</v>
      </c>
      <c r="W100" s="2">
        <v>24042.082549999999</v>
      </c>
      <c r="Y100" s="2">
        <v>497</v>
      </c>
      <c r="Z100" s="2">
        <v>5200.6343399999996</v>
      </c>
      <c r="AD100" s="2">
        <v>577</v>
      </c>
      <c r="AE100" s="2">
        <v>15063.03595</v>
      </c>
      <c r="AG100" s="2">
        <v>577</v>
      </c>
      <c r="AH100" s="2">
        <v>14489.93773</v>
      </c>
    </row>
    <row r="101" spans="2:34" x14ac:dyDescent="0.2">
      <c r="B101" s="2">
        <v>578</v>
      </c>
      <c r="C101" s="2">
        <v>192.91820000000001</v>
      </c>
      <c r="E101" s="2">
        <v>718</v>
      </c>
      <c r="F101" s="2">
        <v>120.59688</v>
      </c>
      <c r="H101" s="2">
        <v>498</v>
      </c>
      <c r="I101" s="2">
        <v>354.94056999999998</v>
      </c>
      <c r="K101" s="2">
        <v>498</v>
      </c>
      <c r="L101" s="2">
        <v>259.82387</v>
      </c>
      <c r="P101" s="2">
        <v>578</v>
      </c>
      <c r="Q101" s="7">
        <v>18330.146550000001</v>
      </c>
      <c r="S101" s="2">
        <v>498</v>
      </c>
      <c r="T101" s="2">
        <v>214611.23144</v>
      </c>
      <c r="V101" s="2">
        <v>718</v>
      </c>
      <c r="W101" s="2">
        <v>24739.866279999998</v>
      </c>
      <c r="Y101" s="2">
        <v>498</v>
      </c>
      <c r="Z101" s="2">
        <v>5245.7669500000002</v>
      </c>
      <c r="AD101" s="2">
        <v>578</v>
      </c>
      <c r="AE101" s="2">
        <v>14362.818380000001</v>
      </c>
      <c r="AG101" s="2">
        <v>578</v>
      </c>
      <c r="AH101" s="2">
        <v>13811.99217</v>
      </c>
    </row>
    <row r="102" spans="2:34" x14ac:dyDescent="0.2">
      <c r="B102" s="2">
        <v>579</v>
      </c>
      <c r="C102" s="2">
        <v>192.24699000000001</v>
      </c>
      <c r="E102" s="2">
        <v>719</v>
      </c>
      <c r="F102" s="2">
        <v>380.31137000000001</v>
      </c>
      <c r="H102" s="2">
        <v>499</v>
      </c>
      <c r="I102" s="2">
        <v>430.8347</v>
      </c>
      <c r="K102" s="2">
        <v>499</v>
      </c>
      <c r="L102" s="2">
        <v>205.92604</v>
      </c>
      <c r="P102" s="2">
        <v>579</v>
      </c>
      <c r="Q102" s="7">
        <v>18261.253820000002</v>
      </c>
      <c r="S102" s="2">
        <v>499</v>
      </c>
      <c r="T102" s="2">
        <v>203956.99393999999</v>
      </c>
      <c r="V102" s="2">
        <v>719</v>
      </c>
      <c r="W102" s="2">
        <v>24057.857489999999</v>
      </c>
      <c r="Y102" s="2">
        <v>499</v>
      </c>
      <c r="Z102" s="2">
        <v>5426.7459200000003</v>
      </c>
      <c r="AD102" s="2">
        <v>579</v>
      </c>
      <c r="AE102" s="2">
        <v>13586.172909999999</v>
      </c>
      <c r="AG102" s="2">
        <v>579</v>
      </c>
      <c r="AH102" s="2">
        <v>13360.37779</v>
      </c>
    </row>
    <row r="103" spans="2:34" x14ac:dyDescent="0.2">
      <c r="B103" s="2">
        <v>580</v>
      </c>
      <c r="C103" s="2">
        <v>260.78199000000001</v>
      </c>
      <c r="E103" s="2">
        <v>720</v>
      </c>
      <c r="F103" s="2">
        <v>202.78099</v>
      </c>
      <c r="H103" s="2">
        <v>500</v>
      </c>
      <c r="I103" s="2">
        <v>456.46688</v>
      </c>
      <c r="K103" s="2">
        <v>500</v>
      </c>
      <c r="L103" s="2">
        <v>351.46582000000001</v>
      </c>
      <c r="P103" s="2">
        <v>580</v>
      </c>
      <c r="Q103" s="7">
        <v>17253.948179999999</v>
      </c>
      <c r="S103" s="2">
        <v>500</v>
      </c>
      <c r="T103" s="2">
        <v>191340.4639</v>
      </c>
      <c r="V103" s="2">
        <v>720</v>
      </c>
      <c r="W103" s="2">
        <v>24122.161550000001</v>
      </c>
      <c r="Y103" s="2">
        <v>500</v>
      </c>
      <c r="Z103" s="2">
        <v>5320.8205500000004</v>
      </c>
      <c r="AD103" s="2">
        <v>580</v>
      </c>
      <c r="AE103" s="2">
        <v>13382.596519999999</v>
      </c>
      <c r="AG103" s="2">
        <v>580</v>
      </c>
      <c r="AH103" s="2">
        <v>12636.20336</v>
      </c>
    </row>
    <row r="104" spans="2:34" x14ac:dyDescent="0.2">
      <c r="B104" s="2">
        <v>581</v>
      </c>
      <c r="C104" s="2">
        <v>187.23045999999999</v>
      </c>
      <c r="E104" s="2">
        <v>721</v>
      </c>
      <c r="F104" s="2">
        <v>312.85723000000002</v>
      </c>
      <c r="H104" s="2">
        <v>501</v>
      </c>
      <c r="I104" s="2">
        <v>420.11716000000001</v>
      </c>
      <c r="K104" s="2">
        <v>501</v>
      </c>
      <c r="L104" s="2">
        <v>473.97273000000001</v>
      </c>
      <c r="P104" s="2">
        <v>581</v>
      </c>
      <c r="Q104" s="7">
        <v>16329.57272</v>
      </c>
      <c r="S104" s="2">
        <v>501</v>
      </c>
      <c r="T104" s="2">
        <v>177974.25765000001</v>
      </c>
      <c r="V104" s="2">
        <v>721</v>
      </c>
      <c r="W104" s="2">
        <v>23645.219690000002</v>
      </c>
      <c r="Y104" s="2">
        <v>501</v>
      </c>
      <c r="Z104" s="2">
        <v>5616.7940799999997</v>
      </c>
      <c r="AD104" s="2">
        <v>581</v>
      </c>
      <c r="AE104" s="2">
        <v>12639.73259</v>
      </c>
      <c r="AG104" s="2">
        <v>581</v>
      </c>
      <c r="AH104" s="2">
        <v>12302.76844</v>
      </c>
    </row>
    <row r="105" spans="2:34" x14ac:dyDescent="0.2">
      <c r="B105" s="2">
        <v>582</v>
      </c>
      <c r="C105" s="2">
        <v>224.13102000000001</v>
      </c>
      <c r="E105" s="2">
        <v>722</v>
      </c>
      <c r="F105" s="2">
        <v>277.62511000000001</v>
      </c>
      <c r="H105" s="2">
        <v>502</v>
      </c>
      <c r="I105" s="2">
        <v>528.57171000000005</v>
      </c>
      <c r="K105" s="2">
        <v>502</v>
      </c>
      <c r="L105" s="2">
        <v>496.58240999999998</v>
      </c>
      <c r="P105" s="2">
        <v>582</v>
      </c>
      <c r="Q105" s="7">
        <v>15726.457</v>
      </c>
      <c r="S105" s="2">
        <v>502</v>
      </c>
      <c r="T105" s="2">
        <v>165898.67775</v>
      </c>
      <c r="V105" s="2">
        <v>722</v>
      </c>
      <c r="W105" s="2">
        <v>23428.920679999999</v>
      </c>
      <c r="Y105" s="2">
        <v>502</v>
      </c>
      <c r="Z105" s="2">
        <v>6114.0079900000001</v>
      </c>
      <c r="AD105" s="2">
        <v>582</v>
      </c>
      <c r="AE105" s="2">
        <v>12206.32619</v>
      </c>
      <c r="AG105" s="2">
        <v>582</v>
      </c>
      <c r="AH105" s="2">
        <v>11828.13212</v>
      </c>
    </row>
    <row r="106" spans="2:34" x14ac:dyDescent="0.2">
      <c r="B106" s="2">
        <v>583</v>
      </c>
      <c r="C106" s="2">
        <v>204.29631000000001</v>
      </c>
      <c r="E106" s="2">
        <v>723</v>
      </c>
      <c r="F106" s="2">
        <v>351.16205000000002</v>
      </c>
      <c r="H106" s="2">
        <v>503</v>
      </c>
      <c r="I106" s="2">
        <v>536.40686000000005</v>
      </c>
      <c r="K106" s="2">
        <v>503</v>
      </c>
      <c r="L106" s="2">
        <v>368.11178999999998</v>
      </c>
      <c r="P106" s="2">
        <v>583</v>
      </c>
      <c r="Q106" s="7">
        <v>15116.244570000001</v>
      </c>
      <c r="S106" s="2">
        <v>503</v>
      </c>
      <c r="T106" s="2">
        <v>151441.92898999999</v>
      </c>
      <c r="V106" s="2">
        <v>723</v>
      </c>
      <c r="W106" s="2">
        <v>22124.755570000001</v>
      </c>
      <c r="Y106" s="2">
        <v>503</v>
      </c>
      <c r="Z106" s="2">
        <v>6407.7823900000003</v>
      </c>
      <c r="AD106" s="2">
        <v>583</v>
      </c>
      <c r="AE106" s="2">
        <v>11741.743829999999</v>
      </c>
      <c r="AG106" s="2">
        <v>583</v>
      </c>
      <c r="AH106" s="2">
        <v>11290.00755</v>
      </c>
    </row>
    <row r="107" spans="2:34" x14ac:dyDescent="0.2">
      <c r="B107" s="2">
        <v>584</v>
      </c>
      <c r="C107" s="2">
        <v>210.69488999999999</v>
      </c>
      <c r="E107" s="2">
        <v>724</v>
      </c>
      <c r="F107" s="2">
        <v>300.46753999999999</v>
      </c>
      <c r="H107" s="2">
        <v>504</v>
      </c>
      <c r="I107" s="2">
        <v>629.72457999999995</v>
      </c>
      <c r="K107" s="2">
        <v>504</v>
      </c>
      <c r="L107" s="2">
        <v>277.25358999999997</v>
      </c>
      <c r="P107" s="2">
        <v>584</v>
      </c>
      <c r="Q107" s="7">
        <v>14592.01259</v>
      </c>
      <c r="S107" s="2">
        <v>504</v>
      </c>
      <c r="T107" s="2">
        <v>139133.42189</v>
      </c>
      <c r="V107" s="2">
        <v>724</v>
      </c>
      <c r="W107" s="2">
        <v>21917.982769999999</v>
      </c>
      <c r="Y107" s="2">
        <v>504</v>
      </c>
      <c r="Z107" s="2">
        <v>6915.9099900000001</v>
      </c>
      <c r="AD107" s="2">
        <v>584</v>
      </c>
      <c r="AE107" s="2">
        <v>11407.11939</v>
      </c>
      <c r="AG107" s="2">
        <v>584</v>
      </c>
      <c r="AH107" s="2">
        <v>10871.39229</v>
      </c>
    </row>
    <row r="108" spans="2:34" x14ac:dyDescent="0.2">
      <c r="B108" s="2">
        <v>585</v>
      </c>
      <c r="C108" s="2">
        <v>197.70024000000001</v>
      </c>
      <c r="E108" s="2">
        <v>725</v>
      </c>
      <c r="F108" s="2">
        <v>134.58553000000001</v>
      </c>
      <c r="H108" s="2">
        <v>505</v>
      </c>
      <c r="I108" s="2">
        <v>747.82974000000002</v>
      </c>
      <c r="K108" s="2">
        <v>505</v>
      </c>
      <c r="L108" s="2">
        <v>67.927419999999998</v>
      </c>
      <c r="P108" s="2">
        <v>585</v>
      </c>
      <c r="Q108" s="7">
        <v>14243.387339999999</v>
      </c>
      <c r="S108" s="2">
        <v>505</v>
      </c>
      <c r="T108" s="2">
        <v>125073.89616</v>
      </c>
      <c r="V108" s="2">
        <v>725</v>
      </c>
      <c r="W108" s="2">
        <v>22652.333709999999</v>
      </c>
      <c r="Y108" s="2">
        <v>505</v>
      </c>
      <c r="Z108" s="2">
        <v>6822.1980700000004</v>
      </c>
      <c r="AD108" s="2">
        <v>585</v>
      </c>
      <c r="AE108" s="2">
        <v>10700.871789999999</v>
      </c>
      <c r="AG108" s="2">
        <v>585</v>
      </c>
      <c r="AH108" s="2">
        <v>10551.479810000001</v>
      </c>
    </row>
    <row r="109" spans="2:34" x14ac:dyDescent="0.2">
      <c r="B109" s="2">
        <v>586</v>
      </c>
      <c r="C109" s="2">
        <v>202.13849999999999</v>
      </c>
      <c r="E109" s="2">
        <v>726</v>
      </c>
      <c r="F109" s="2">
        <v>281.14109000000002</v>
      </c>
      <c r="H109" s="2">
        <v>506</v>
      </c>
      <c r="I109" s="2">
        <v>882.42809999999997</v>
      </c>
      <c r="K109" s="2">
        <v>506</v>
      </c>
      <c r="L109" s="2">
        <v>342.04293999999999</v>
      </c>
      <c r="P109" s="2">
        <v>586</v>
      </c>
      <c r="Q109" s="7">
        <v>13672.69586</v>
      </c>
      <c r="S109" s="2">
        <v>506</v>
      </c>
      <c r="T109" s="2">
        <v>113302.65568</v>
      </c>
      <c r="V109" s="2">
        <v>726</v>
      </c>
      <c r="W109" s="2">
        <v>23193.059939999999</v>
      </c>
      <c r="Y109" s="2">
        <v>506</v>
      </c>
      <c r="Z109" s="2">
        <v>7157.7933700000003</v>
      </c>
      <c r="AD109" s="2">
        <v>586</v>
      </c>
      <c r="AE109" s="2">
        <v>10278.90681</v>
      </c>
      <c r="AG109" s="2">
        <v>586</v>
      </c>
      <c r="AH109" s="2">
        <v>10131.702079999999</v>
      </c>
    </row>
    <row r="110" spans="2:34" x14ac:dyDescent="0.2">
      <c r="B110" s="2">
        <v>587</v>
      </c>
      <c r="C110" s="2">
        <v>243.42935</v>
      </c>
      <c r="E110" s="2">
        <v>727</v>
      </c>
      <c r="F110" s="2">
        <v>109.99691</v>
      </c>
      <c r="H110" s="2">
        <v>507</v>
      </c>
      <c r="I110" s="2">
        <v>931.52856999999995</v>
      </c>
      <c r="K110" s="2">
        <v>507</v>
      </c>
      <c r="L110" s="2">
        <v>60.448079999999997</v>
      </c>
      <c r="P110" s="2">
        <v>587</v>
      </c>
      <c r="Q110" s="7">
        <v>13067.080840000001</v>
      </c>
      <c r="S110" s="2">
        <v>507</v>
      </c>
      <c r="T110" s="2">
        <v>99812.379509999999</v>
      </c>
      <c r="V110" s="2">
        <v>727</v>
      </c>
      <c r="W110" s="2">
        <v>21743.052090000001</v>
      </c>
      <c r="Y110" s="2">
        <v>507</v>
      </c>
      <c r="Z110" s="2">
        <v>7423.2498699999996</v>
      </c>
      <c r="AD110" s="2">
        <v>587</v>
      </c>
      <c r="AE110" s="2">
        <v>10070.22286</v>
      </c>
      <c r="AG110" s="2">
        <v>587</v>
      </c>
      <c r="AH110" s="2">
        <v>9667.0154199999997</v>
      </c>
    </row>
    <row r="111" spans="2:34" x14ac:dyDescent="0.2">
      <c r="B111" s="2">
        <v>588</v>
      </c>
      <c r="C111" s="2">
        <v>235.24942999999999</v>
      </c>
      <c r="E111" s="2">
        <v>728</v>
      </c>
      <c r="F111" s="2">
        <v>424.50362000000001</v>
      </c>
      <c r="H111" s="2">
        <v>508</v>
      </c>
      <c r="I111" s="2">
        <v>1117.0607199999999</v>
      </c>
      <c r="K111" s="2">
        <v>508</v>
      </c>
      <c r="L111" s="2">
        <v>154.98856000000001</v>
      </c>
      <c r="P111" s="2">
        <v>588</v>
      </c>
      <c r="Q111" s="7">
        <v>12485.446529999999</v>
      </c>
      <c r="S111" s="2">
        <v>508</v>
      </c>
      <c r="T111" s="2">
        <v>89309.047470000005</v>
      </c>
      <c r="V111" s="2">
        <v>728</v>
      </c>
      <c r="W111" s="2">
        <v>20766.975020000002</v>
      </c>
      <c r="Y111" s="2">
        <v>508</v>
      </c>
      <c r="Z111" s="2">
        <v>7483.0393299999996</v>
      </c>
      <c r="AD111" s="2">
        <v>588</v>
      </c>
      <c r="AE111" s="2">
        <v>9537.0984399999998</v>
      </c>
      <c r="AG111" s="2">
        <v>588</v>
      </c>
      <c r="AH111" s="2">
        <v>9397.1326800000006</v>
      </c>
    </row>
    <row r="112" spans="2:34" x14ac:dyDescent="0.2">
      <c r="B112" s="2">
        <v>589</v>
      </c>
      <c r="C112" s="2">
        <v>168.85735</v>
      </c>
      <c r="E112" s="2">
        <v>729</v>
      </c>
      <c r="F112" s="2">
        <v>128.34093999999999</v>
      </c>
      <c r="H112" s="2">
        <v>509</v>
      </c>
      <c r="I112" s="2">
        <v>1405.82312</v>
      </c>
      <c r="K112" s="2">
        <v>509</v>
      </c>
      <c r="L112" s="2">
        <v>210.16535999999999</v>
      </c>
      <c r="P112" s="2">
        <v>589</v>
      </c>
      <c r="Q112" s="7">
        <v>12135.604310000001</v>
      </c>
      <c r="S112" s="2">
        <v>509</v>
      </c>
      <c r="T112" s="2">
        <v>79306.140589999995</v>
      </c>
      <c r="V112" s="2">
        <v>729</v>
      </c>
      <c r="W112" s="2">
        <v>21931.456989999999</v>
      </c>
      <c r="Y112" s="2">
        <v>509</v>
      </c>
      <c r="Z112" s="2">
        <v>8529.9077300000008</v>
      </c>
      <c r="AD112" s="2">
        <v>589</v>
      </c>
      <c r="AE112" s="2">
        <v>9196.0261800000007</v>
      </c>
      <c r="AG112" s="2">
        <v>589</v>
      </c>
      <c r="AH112" s="2">
        <v>8784.4307800000006</v>
      </c>
    </row>
    <row r="113" spans="2:34" x14ac:dyDescent="0.2">
      <c r="B113" s="2">
        <v>590</v>
      </c>
      <c r="C113" s="2">
        <v>179.01693</v>
      </c>
      <c r="E113" s="2">
        <v>730</v>
      </c>
      <c r="F113" s="2">
        <v>115.07463</v>
      </c>
      <c r="H113" s="2">
        <v>510</v>
      </c>
      <c r="I113" s="2">
        <v>1840.9277</v>
      </c>
      <c r="K113" s="2">
        <v>510</v>
      </c>
      <c r="L113" s="2">
        <v>359.38751000000002</v>
      </c>
      <c r="P113" s="2">
        <v>590</v>
      </c>
      <c r="Q113" s="7">
        <v>11487.038790000001</v>
      </c>
      <c r="S113" s="2">
        <v>510</v>
      </c>
      <c r="T113" s="2">
        <v>68602.565050000005</v>
      </c>
      <c r="V113" s="2">
        <v>730</v>
      </c>
      <c r="W113" s="2">
        <v>21269.186180000001</v>
      </c>
      <c r="Y113" s="2">
        <v>510</v>
      </c>
      <c r="Z113" s="2">
        <v>8432.4402300000002</v>
      </c>
      <c r="AD113" s="2">
        <v>590</v>
      </c>
      <c r="AE113" s="2">
        <v>8739.1787899999999</v>
      </c>
      <c r="AG113" s="2">
        <v>590</v>
      </c>
      <c r="AH113" s="2">
        <v>8444.5208500000008</v>
      </c>
    </row>
    <row r="114" spans="2:34" x14ac:dyDescent="0.2">
      <c r="B114" s="2">
        <v>591</v>
      </c>
      <c r="C114" s="2">
        <v>216.13719</v>
      </c>
      <c r="E114" s="2">
        <v>731</v>
      </c>
      <c r="F114" s="2">
        <v>148.19007999999999</v>
      </c>
      <c r="K114" s="2">
        <v>511</v>
      </c>
      <c r="L114" s="2">
        <v>249.20428999999999</v>
      </c>
      <c r="P114" s="2">
        <v>591</v>
      </c>
      <c r="Q114" s="7">
        <v>11509.746160000001</v>
      </c>
      <c r="V114" s="2">
        <v>731</v>
      </c>
      <c r="W114" s="2">
        <v>20398.837039999999</v>
      </c>
      <c r="Y114" s="2">
        <v>511</v>
      </c>
      <c r="Z114" s="2">
        <v>8350.9218600000004</v>
      </c>
      <c r="AD114" s="2">
        <v>591</v>
      </c>
      <c r="AE114" s="2">
        <v>8540.8944200000005</v>
      </c>
      <c r="AG114" s="2">
        <v>591</v>
      </c>
      <c r="AH114" s="2">
        <v>8316.4226500000004</v>
      </c>
    </row>
    <row r="115" spans="2:34" x14ac:dyDescent="0.2">
      <c r="B115" s="2">
        <v>592</v>
      </c>
      <c r="C115" s="2">
        <v>186.29817</v>
      </c>
      <c r="E115" s="2">
        <v>732</v>
      </c>
      <c r="F115" s="2">
        <v>71.329790000000003</v>
      </c>
      <c r="K115" s="2">
        <v>512</v>
      </c>
      <c r="L115" s="2">
        <v>383.18227999999999</v>
      </c>
      <c r="P115" s="2">
        <v>592</v>
      </c>
      <c r="Q115" s="7">
        <v>10851.29428</v>
      </c>
      <c r="V115" s="2">
        <v>732</v>
      </c>
      <c r="W115" s="2">
        <v>19567.73933</v>
      </c>
      <c r="Y115" s="2">
        <v>512</v>
      </c>
      <c r="Z115" s="2">
        <v>9093.5729599999995</v>
      </c>
      <c r="AD115" s="2">
        <v>592</v>
      </c>
      <c r="AE115" s="2">
        <v>8101.1604799999996</v>
      </c>
      <c r="AG115" s="2">
        <v>592</v>
      </c>
      <c r="AH115" s="2">
        <v>7856.5765700000002</v>
      </c>
    </row>
    <row r="116" spans="2:34" x14ac:dyDescent="0.2">
      <c r="B116" s="2">
        <v>593</v>
      </c>
      <c r="C116" s="2">
        <v>241.16756000000001</v>
      </c>
      <c r="E116" s="2">
        <v>733</v>
      </c>
      <c r="F116" s="2">
        <v>346.55732999999998</v>
      </c>
      <c r="K116" s="2">
        <v>513</v>
      </c>
      <c r="L116" s="2">
        <v>210.9134</v>
      </c>
      <c r="P116" s="2">
        <v>593</v>
      </c>
      <c r="Q116" s="7">
        <v>10482.59253</v>
      </c>
      <c r="V116" s="2">
        <v>733</v>
      </c>
      <c r="W116" s="2">
        <v>19804.68345</v>
      </c>
      <c r="Y116" s="2">
        <v>513</v>
      </c>
      <c r="Z116" s="2">
        <v>8918.0604199999998</v>
      </c>
      <c r="AD116" s="2">
        <v>593</v>
      </c>
      <c r="AE116" s="2">
        <v>7974.9329600000001</v>
      </c>
      <c r="AG116" s="2">
        <v>593</v>
      </c>
      <c r="AH116" s="2">
        <v>7721.0091199999997</v>
      </c>
    </row>
    <row r="117" spans="2:34" x14ac:dyDescent="0.2">
      <c r="B117" s="2">
        <v>594</v>
      </c>
      <c r="C117" s="2">
        <v>203.01042000000001</v>
      </c>
      <c r="E117" s="2">
        <v>734</v>
      </c>
      <c r="F117" s="2">
        <v>385.00261</v>
      </c>
      <c r="K117" s="2">
        <v>514</v>
      </c>
      <c r="L117" s="2">
        <v>425.62885</v>
      </c>
      <c r="P117" s="2">
        <v>594</v>
      </c>
      <c r="Q117" s="7">
        <v>10023.229869999999</v>
      </c>
      <c r="V117" s="2">
        <v>734</v>
      </c>
      <c r="W117" s="2">
        <v>18991.750739999999</v>
      </c>
      <c r="Y117" s="2">
        <v>514</v>
      </c>
      <c r="Z117" s="2">
        <v>9862.5589999999993</v>
      </c>
      <c r="AD117" s="2">
        <v>594</v>
      </c>
      <c r="AE117" s="2">
        <v>7466.2277899999999</v>
      </c>
      <c r="AG117" s="2">
        <v>594</v>
      </c>
      <c r="AH117" s="2">
        <v>7333.4975700000005</v>
      </c>
    </row>
    <row r="118" spans="2:34" x14ac:dyDescent="0.2">
      <c r="B118" s="2">
        <v>595</v>
      </c>
      <c r="C118" s="2">
        <v>219.38086000000001</v>
      </c>
      <c r="E118" s="2">
        <v>735</v>
      </c>
      <c r="F118" s="2">
        <v>224.75191000000001</v>
      </c>
      <c r="K118" s="2">
        <v>515</v>
      </c>
      <c r="L118" s="2">
        <v>339.92590999999999</v>
      </c>
      <c r="P118" s="2">
        <v>595</v>
      </c>
      <c r="Q118" s="7">
        <v>9571.66237</v>
      </c>
      <c r="V118" s="2">
        <v>735</v>
      </c>
      <c r="W118" s="2">
        <v>17591.088309999999</v>
      </c>
      <c r="Y118" s="2">
        <v>515</v>
      </c>
      <c r="Z118" s="2">
        <v>10145.062</v>
      </c>
      <c r="AD118" s="2">
        <v>595</v>
      </c>
      <c r="AE118" s="2">
        <v>7360.8111099999996</v>
      </c>
      <c r="AG118" s="2">
        <v>595</v>
      </c>
      <c r="AH118" s="2">
        <v>7141.7741500000002</v>
      </c>
    </row>
    <row r="119" spans="2:34" x14ac:dyDescent="0.2">
      <c r="B119" s="2">
        <v>596</v>
      </c>
      <c r="C119" s="2">
        <v>208.84683000000001</v>
      </c>
      <c r="E119" s="2">
        <v>736</v>
      </c>
      <c r="F119" s="2">
        <v>76.22457</v>
      </c>
      <c r="K119" s="2">
        <v>516</v>
      </c>
      <c r="L119" s="2">
        <v>197.21356</v>
      </c>
      <c r="P119" s="2">
        <v>596</v>
      </c>
      <c r="Q119" s="7">
        <v>9362.6538700000001</v>
      </c>
      <c r="V119" s="2">
        <v>736</v>
      </c>
      <c r="W119" s="2">
        <v>16932.70866</v>
      </c>
      <c r="Y119" s="2">
        <v>516</v>
      </c>
      <c r="Z119" s="2">
        <v>10870.744140000001</v>
      </c>
      <c r="AD119" s="2">
        <v>596</v>
      </c>
      <c r="AE119" s="2">
        <v>7249.4618600000003</v>
      </c>
      <c r="AG119" s="2">
        <v>596</v>
      </c>
      <c r="AH119" s="2">
        <v>6914.8172400000003</v>
      </c>
    </row>
    <row r="120" spans="2:34" x14ac:dyDescent="0.2">
      <c r="B120" s="2">
        <v>597</v>
      </c>
      <c r="C120" s="2">
        <v>224.28390999999999</v>
      </c>
      <c r="E120" s="2">
        <v>737</v>
      </c>
      <c r="F120" s="2">
        <v>301.45512000000002</v>
      </c>
      <c r="K120" s="2">
        <v>517</v>
      </c>
      <c r="L120" s="2">
        <v>558.15800999999999</v>
      </c>
      <c r="P120" s="2">
        <v>597</v>
      </c>
      <c r="Q120" s="7">
        <v>8829.5381600000001</v>
      </c>
      <c r="V120" s="2">
        <v>737</v>
      </c>
      <c r="W120" s="2">
        <v>16785.09462</v>
      </c>
      <c r="Y120" s="2">
        <v>517</v>
      </c>
      <c r="Z120" s="2">
        <v>11084.84151</v>
      </c>
      <c r="AD120" s="2">
        <v>597</v>
      </c>
      <c r="AE120" s="2">
        <v>6761.7477099999996</v>
      </c>
      <c r="AG120" s="2">
        <v>597</v>
      </c>
      <c r="AH120" s="2">
        <v>6603.07258</v>
      </c>
    </row>
    <row r="121" spans="2:34" x14ac:dyDescent="0.2">
      <c r="B121" s="2">
        <v>598</v>
      </c>
      <c r="C121" s="2">
        <v>202.69963999999999</v>
      </c>
      <c r="E121" s="2">
        <v>738</v>
      </c>
      <c r="F121" s="2">
        <v>323.54820000000001</v>
      </c>
      <c r="K121" s="2">
        <v>518</v>
      </c>
      <c r="L121" s="2">
        <v>262.29282000000001</v>
      </c>
      <c r="P121" s="2">
        <v>598</v>
      </c>
      <c r="Q121" s="7">
        <v>8746.51829</v>
      </c>
      <c r="V121" s="2">
        <v>738</v>
      </c>
      <c r="W121" s="2">
        <v>16768.90309</v>
      </c>
      <c r="Y121" s="2">
        <v>518</v>
      </c>
      <c r="Z121" s="2">
        <v>11082.586020000001</v>
      </c>
      <c r="AD121" s="2">
        <v>598</v>
      </c>
      <c r="AE121" s="2">
        <v>6616.4179400000003</v>
      </c>
      <c r="AG121" s="2">
        <v>598</v>
      </c>
      <c r="AH121" s="2">
        <v>6614.63364</v>
      </c>
    </row>
    <row r="122" spans="2:34" x14ac:dyDescent="0.2">
      <c r="B122" s="2">
        <v>599</v>
      </c>
      <c r="C122" s="2">
        <v>165.17740000000001</v>
      </c>
      <c r="E122" s="2">
        <v>739</v>
      </c>
      <c r="F122" s="2">
        <v>363.60565000000003</v>
      </c>
      <c r="K122" s="2">
        <v>519</v>
      </c>
      <c r="L122" s="2">
        <v>327.46647999999999</v>
      </c>
      <c r="P122" s="2">
        <v>599</v>
      </c>
      <c r="Q122" s="7">
        <v>8101.3584600000004</v>
      </c>
      <c r="V122" s="2">
        <v>739</v>
      </c>
      <c r="W122" s="2">
        <v>16124.95981</v>
      </c>
      <c r="Y122" s="2">
        <v>519</v>
      </c>
      <c r="Z122" s="2">
        <v>11772.14531</v>
      </c>
      <c r="AD122" s="2">
        <v>599</v>
      </c>
      <c r="AE122" s="2">
        <v>6587.7898699999996</v>
      </c>
      <c r="AG122" s="2">
        <v>599</v>
      </c>
      <c r="AH122" s="2">
        <v>6243.9588100000001</v>
      </c>
    </row>
    <row r="123" spans="2:34" x14ac:dyDescent="0.2">
      <c r="B123" s="2">
        <v>600</v>
      </c>
      <c r="C123" s="2">
        <v>189.24034</v>
      </c>
      <c r="E123" s="2">
        <v>740</v>
      </c>
      <c r="F123" s="2">
        <v>693.60862999999995</v>
      </c>
      <c r="K123" s="2">
        <v>520</v>
      </c>
      <c r="L123" s="2">
        <v>296.22172999999998</v>
      </c>
      <c r="P123" s="2">
        <v>600</v>
      </c>
      <c r="Q123" s="7">
        <v>7916.43923</v>
      </c>
      <c r="V123" s="2">
        <v>740</v>
      </c>
      <c r="W123" s="2">
        <v>16441.411950000002</v>
      </c>
      <c r="Y123" s="2">
        <v>520</v>
      </c>
      <c r="Z123" s="2">
        <v>12233.640530000001</v>
      </c>
      <c r="AD123" s="2">
        <v>600</v>
      </c>
      <c r="AE123" s="2">
        <v>6285.8959800000002</v>
      </c>
      <c r="AG123" s="2">
        <v>600</v>
      </c>
      <c r="AH123" s="2">
        <v>6008.9378800000004</v>
      </c>
    </row>
    <row r="124" spans="2:34" x14ac:dyDescent="0.2">
      <c r="B124" s="2">
        <v>601</v>
      </c>
      <c r="C124" s="2">
        <v>151.00659999999999</v>
      </c>
      <c r="E124" s="2">
        <v>741</v>
      </c>
      <c r="F124" s="2">
        <v>-27.426130000000001</v>
      </c>
      <c r="K124" s="2">
        <v>521</v>
      </c>
      <c r="L124" s="2">
        <v>313.17671000000001</v>
      </c>
      <c r="P124" s="2">
        <v>601</v>
      </c>
      <c r="Q124" s="7">
        <v>7770.4117699999997</v>
      </c>
      <c r="V124" s="2">
        <v>741</v>
      </c>
      <c r="W124" s="2">
        <v>15718.48114</v>
      </c>
      <c r="Y124" s="2">
        <v>521</v>
      </c>
      <c r="Z124" s="2">
        <v>12158.18619</v>
      </c>
      <c r="AD124" s="2">
        <v>601</v>
      </c>
      <c r="AE124" s="2">
        <v>5995.2400100000004</v>
      </c>
      <c r="AG124" s="2">
        <v>601</v>
      </c>
      <c r="AH124" s="2">
        <v>5819.89617</v>
      </c>
    </row>
    <row r="125" spans="2:34" x14ac:dyDescent="0.2">
      <c r="B125" s="2">
        <v>602</v>
      </c>
      <c r="C125" s="2">
        <v>210.35972000000001</v>
      </c>
      <c r="E125" s="2">
        <v>742</v>
      </c>
      <c r="F125" s="2">
        <v>83.389589999999998</v>
      </c>
      <c r="K125" s="2">
        <v>522</v>
      </c>
      <c r="L125" s="2">
        <v>257.67295999999999</v>
      </c>
      <c r="P125" s="2">
        <v>602</v>
      </c>
      <c r="Q125" s="7">
        <v>7525.0160900000001</v>
      </c>
      <c r="V125" s="2">
        <v>742</v>
      </c>
      <c r="W125" s="2">
        <v>14314.44198</v>
      </c>
      <c r="Y125" s="2">
        <v>522</v>
      </c>
      <c r="Z125" s="2">
        <v>13348.69785</v>
      </c>
      <c r="AD125" s="2">
        <v>602</v>
      </c>
      <c r="AE125" s="2">
        <v>5706.4276300000001</v>
      </c>
      <c r="AG125" s="2">
        <v>602</v>
      </c>
      <c r="AH125" s="2">
        <v>5540.6978499999996</v>
      </c>
    </row>
    <row r="126" spans="2:34" x14ac:dyDescent="0.2">
      <c r="B126" s="2">
        <v>603</v>
      </c>
      <c r="C126" s="2">
        <v>199.13603000000001</v>
      </c>
      <c r="E126" s="2">
        <v>743</v>
      </c>
      <c r="F126" s="2">
        <v>366.1515</v>
      </c>
      <c r="K126" s="2">
        <v>523</v>
      </c>
      <c r="L126" s="2">
        <v>87.240560000000002</v>
      </c>
      <c r="P126" s="2">
        <v>603</v>
      </c>
      <c r="Q126" s="7">
        <v>7478.5663299999997</v>
      </c>
      <c r="V126" s="2">
        <v>743</v>
      </c>
      <c r="W126" s="2">
        <v>14505.574140000001</v>
      </c>
      <c r="Y126" s="2">
        <v>523</v>
      </c>
      <c r="Z126" s="2">
        <v>13897.20739</v>
      </c>
      <c r="AD126" s="2">
        <v>603</v>
      </c>
      <c r="AE126" s="2">
        <v>5807.9865900000004</v>
      </c>
      <c r="AG126" s="2">
        <v>603</v>
      </c>
      <c r="AH126" s="2">
        <v>5601.7485200000001</v>
      </c>
    </row>
    <row r="127" spans="2:34" x14ac:dyDescent="0.2">
      <c r="B127" s="2">
        <v>604</v>
      </c>
      <c r="C127" s="2">
        <v>233.52793</v>
      </c>
      <c r="E127" s="2">
        <v>744</v>
      </c>
      <c r="F127" s="2">
        <v>66.640739999999994</v>
      </c>
      <c r="K127" s="2">
        <v>524</v>
      </c>
      <c r="L127" s="2">
        <v>267.38202000000001</v>
      </c>
      <c r="P127" s="2">
        <v>604</v>
      </c>
      <c r="Q127" s="7">
        <v>7069.2544200000002</v>
      </c>
      <c r="V127" s="2">
        <v>744</v>
      </c>
      <c r="W127" s="2">
        <v>12901.25193</v>
      </c>
      <c r="Y127" s="2">
        <v>524</v>
      </c>
      <c r="Z127" s="2">
        <v>14241.0545</v>
      </c>
      <c r="AD127" s="2">
        <v>604</v>
      </c>
      <c r="AE127" s="2">
        <v>5422.9029300000002</v>
      </c>
      <c r="AG127" s="2">
        <v>604</v>
      </c>
      <c r="AH127" s="2">
        <v>5168.4490500000002</v>
      </c>
    </row>
    <row r="128" spans="2:34" x14ac:dyDescent="0.2">
      <c r="B128" s="2">
        <v>605</v>
      </c>
      <c r="C128" s="2">
        <v>198.22373999999999</v>
      </c>
      <c r="E128" s="2">
        <v>745</v>
      </c>
      <c r="F128" s="2">
        <v>144.67471</v>
      </c>
      <c r="K128" s="2">
        <v>525</v>
      </c>
      <c r="L128" s="2">
        <v>63.17324</v>
      </c>
      <c r="P128" s="2">
        <v>605</v>
      </c>
      <c r="Q128" s="7">
        <v>6691.0085600000002</v>
      </c>
      <c r="V128" s="2">
        <v>745</v>
      </c>
      <c r="W128" s="2">
        <v>12745.70198</v>
      </c>
      <c r="Y128" s="2">
        <v>525</v>
      </c>
      <c r="Z128" s="2">
        <v>15420.403749999999</v>
      </c>
      <c r="AD128" s="2">
        <v>605</v>
      </c>
      <c r="AE128" s="2">
        <v>5389.4947000000002</v>
      </c>
      <c r="AG128" s="2">
        <v>605</v>
      </c>
      <c r="AH128" s="2">
        <v>4984.5861500000001</v>
      </c>
    </row>
    <row r="129" spans="2:34" x14ac:dyDescent="0.2">
      <c r="B129" s="2">
        <v>606</v>
      </c>
      <c r="C129" s="2">
        <v>189.96191999999999</v>
      </c>
      <c r="E129" s="2">
        <v>746</v>
      </c>
      <c r="F129" s="2">
        <v>537.91597000000002</v>
      </c>
      <c r="K129" s="2">
        <v>526</v>
      </c>
      <c r="L129" s="2">
        <v>87.843329999999995</v>
      </c>
      <c r="P129" s="2">
        <v>606</v>
      </c>
      <c r="Q129" s="7">
        <v>6444.9882900000002</v>
      </c>
      <c r="V129" s="2">
        <v>746</v>
      </c>
      <c r="W129" s="2">
        <v>11562.48451</v>
      </c>
      <c r="Y129" s="2">
        <v>526</v>
      </c>
      <c r="Z129" s="2">
        <v>15821.37074</v>
      </c>
      <c r="AD129" s="2">
        <v>606</v>
      </c>
      <c r="AE129" s="2">
        <v>5075.0795200000002</v>
      </c>
      <c r="AG129" s="2">
        <v>606</v>
      </c>
      <c r="AH129" s="2">
        <v>5122.7026999999998</v>
      </c>
    </row>
    <row r="130" spans="2:34" x14ac:dyDescent="0.2">
      <c r="B130" s="2">
        <v>607</v>
      </c>
      <c r="C130" s="2">
        <v>194.85523000000001</v>
      </c>
      <c r="E130" s="2">
        <v>747</v>
      </c>
      <c r="F130" s="2">
        <v>168.83661000000001</v>
      </c>
      <c r="K130" s="2">
        <v>527</v>
      </c>
      <c r="L130" s="2">
        <v>310.89328999999998</v>
      </c>
      <c r="P130" s="2">
        <v>607</v>
      </c>
      <c r="Q130" s="7">
        <v>6352.67353</v>
      </c>
      <c r="V130" s="2">
        <v>747</v>
      </c>
      <c r="W130" s="2">
        <v>13270.938</v>
      </c>
      <c r="Y130" s="2">
        <v>527</v>
      </c>
      <c r="Z130" s="2">
        <v>15741.55191</v>
      </c>
      <c r="AD130" s="2">
        <v>607</v>
      </c>
      <c r="AE130" s="2">
        <v>4889.0169299999998</v>
      </c>
      <c r="AG130" s="2">
        <v>607</v>
      </c>
      <c r="AH130" s="2">
        <v>4763.1732199999997</v>
      </c>
    </row>
    <row r="131" spans="2:34" x14ac:dyDescent="0.2">
      <c r="B131" s="2">
        <v>608</v>
      </c>
      <c r="C131" s="2">
        <v>190.63184999999999</v>
      </c>
      <c r="E131" s="2">
        <v>748</v>
      </c>
      <c r="F131" s="2">
        <v>452.02055000000001</v>
      </c>
      <c r="K131" s="2">
        <v>528</v>
      </c>
      <c r="L131" s="2">
        <v>303.79451</v>
      </c>
      <c r="P131" s="2">
        <v>608</v>
      </c>
      <c r="Q131" s="7">
        <v>6160.6493</v>
      </c>
      <c r="V131" s="2">
        <v>748</v>
      </c>
      <c r="W131" s="2">
        <v>10585.99619</v>
      </c>
      <c r="Y131" s="2">
        <v>528</v>
      </c>
      <c r="Z131" s="2">
        <v>16544.413779999999</v>
      </c>
      <c r="AD131" s="2">
        <v>608</v>
      </c>
      <c r="AE131" s="2">
        <v>4802.8798200000001</v>
      </c>
      <c r="AG131" s="2">
        <v>608</v>
      </c>
      <c r="AH131" s="2">
        <v>4593.9116000000004</v>
      </c>
    </row>
    <row r="132" spans="2:34" x14ac:dyDescent="0.2">
      <c r="B132" s="2">
        <v>609</v>
      </c>
      <c r="C132" s="2">
        <v>184.78818999999999</v>
      </c>
      <c r="E132" s="2">
        <v>749</v>
      </c>
      <c r="F132" s="2">
        <v>-91.724469999999997</v>
      </c>
      <c r="K132" s="2">
        <v>529</v>
      </c>
      <c r="L132" s="2">
        <v>88.856999999999999</v>
      </c>
      <c r="P132" s="2">
        <v>609</v>
      </c>
      <c r="Q132" s="7">
        <v>5836.5546999999997</v>
      </c>
      <c r="V132" s="2">
        <v>749</v>
      </c>
      <c r="W132" s="2">
        <v>11316.42714</v>
      </c>
      <c r="Y132" s="2">
        <v>529</v>
      </c>
      <c r="Z132" s="2">
        <v>18945.782329999998</v>
      </c>
      <c r="AD132" s="2">
        <v>609</v>
      </c>
      <c r="AE132" s="2">
        <v>4543.4026999999996</v>
      </c>
      <c r="AG132" s="2">
        <v>609</v>
      </c>
      <c r="AH132" s="2">
        <v>4383.88436</v>
      </c>
    </row>
    <row r="133" spans="2:34" x14ac:dyDescent="0.2">
      <c r="B133" s="2">
        <v>610</v>
      </c>
      <c r="C133" s="2">
        <v>178.86653000000001</v>
      </c>
      <c r="E133" s="2">
        <v>750</v>
      </c>
      <c r="F133" s="2">
        <v>485.62527999999998</v>
      </c>
      <c r="K133" s="2">
        <v>530</v>
      </c>
      <c r="L133" s="2">
        <v>105.70332999999999</v>
      </c>
      <c r="P133" s="2">
        <v>610</v>
      </c>
      <c r="Q133" s="7">
        <v>5691.4920499999998</v>
      </c>
      <c r="V133" s="2">
        <v>750</v>
      </c>
      <c r="W133" s="2">
        <v>10795.722750000001</v>
      </c>
      <c r="Y133" s="2">
        <v>530</v>
      </c>
      <c r="Z133" s="2">
        <v>18368.367740000002</v>
      </c>
      <c r="AD133" s="2">
        <v>610</v>
      </c>
      <c r="AE133" s="2">
        <v>4519.2692200000001</v>
      </c>
      <c r="AG133" s="2">
        <v>610</v>
      </c>
      <c r="AH133" s="2">
        <v>4275.5222299999996</v>
      </c>
    </row>
    <row r="134" spans="2:34" x14ac:dyDescent="0.2">
      <c r="B134" s="2">
        <v>611</v>
      </c>
      <c r="C134" s="2">
        <v>217.34423000000001</v>
      </c>
      <c r="E134" s="2">
        <v>751</v>
      </c>
      <c r="F134" s="2">
        <v>429.14046999999999</v>
      </c>
      <c r="K134" s="2">
        <v>531</v>
      </c>
      <c r="L134" s="2">
        <v>281.20737000000003</v>
      </c>
      <c r="P134" s="2">
        <v>611</v>
      </c>
      <c r="Q134" s="7">
        <v>5486.8017600000003</v>
      </c>
      <c r="V134" s="2">
        <v>751</v>
      </c>
      <c r="W134" s="2">
        <v>9700.9861799999999</v>
      </c>
      <c r="Y134" s="2">
        <v>531</v>
      </c>
      <c r="Z134" s="2">
        <v>19226.021570000001</v>
      </c>
      <c r="AD134" s="2">
        <v>611</v>
      </c>
      <c r="AE134" s="2">
        <v>4399.0677800000003</v>
      </c>
      <c r="AG134" s="2">
        <v>611</v>
      </c>
      <c r="AH134" s="2">
        <v>4091.7505999999998</v>
      </c>
    </row>
    <row r="135" spans="2:34" x14ac:dyDescent="0.2">
      <c r="B135" s="2">
        <v>612</v>
      </c>
      <c r="C135" s="2">
        <v>168.35504</v>
      </c>
      <c r="E135" s="2">
        <v>752</v>
      </c>
      <c r="F135" s="2">
        <v>731.18627000000004</v>
      </c>
      <c r="K135" s="2">
        <v>532</v>
      </c>
      <c r="L135" s="2">
        <v>474.65652</v>
      </c>
      <c r="P135" s="2">
        <v>612</v>
      </c>
      <c r="Q135" s="7">
        <v>5428.2077600000002</v>
      </c>
      <c r="V135" s="2">
        <v>752</v>
      </c>
      <c r="W135" s="2">
        <v>10824.34791</v>
      </c>
      <c r="Y135" s="2">
        <v>532</v>
      </c>
      <c r="Z135" s="2">
        <v>19930.851610000002</v>
      </c>
      <c r="AD135" s="2">
        <v>612</v>
      </c>
      <c r="AE135" s="2">
        <v>4167.6761999999999</v>
      </c>
      <c r="AG135" s="2">
        <v>612</v>
      </c>
      <c r="AH135" s="2">
        <v>4129.3527800000002</v>
      </c>
    </row>
    <row r="136" spans="2:34" x14ac:dyDescent="0.2">
      <c r="B136" s="2">
        <v>613</v>
      </c>
      <c r="C136" s="2">
        <v>168.41534999999999</v>
      </c>
      <c r="E136" s="2">
        <v>753</v>
      </c>
      <c r="F136" s="2">
        <v>440.20956999999999</v>
      </c>
      <c r="K136" s="2">
        <v>533</v>
      </c>
      <c r="L136" s="2">
        <v>182.24319</v>
      </c>
      <c r="P136" s="2">
        <v>613</v>
      </c>
      <c r="Q136" s="7">
        <v>5129.8990599999997</v>
      </c>
      <c r="V136" s="2">
        <v>753</v>
      </c>
      <c r="W136" s="2">
        <v>9242.8360400000001</v>
      </c>
      <c r="Y136" s="2">
        <v>533</v>
      </c>
      <c r="Z136" s="2">
        <v>20171.7654</v>
      </c>
      <c r="AD136" s="2">
        <v>613</v>
      </c>
      <c r="AE136" s="2">
        <v>4163.84256</v>
      </c>
      <c r="AG136" s="2">
        <v>613</v>
      </c>
      <c r="AH136" s="2">
        <v>3910.7588500000002</v>
      </c>
    </row>
    <row r="137" spans="2:34" x14ac:dyDescent="0.2">
      <c r="B137" s="2">
        <v>614</v>
      </c>
      <c r="C137" s="2">
        <v>204.40316000000001</v>
      </c>
      <c r="E137" s="2">
        <v>754</v>
      </c>
      <c r="F137" s="2">
        <v>-32.610080000000004</v>
      </c>
      <c r="K137" s="2">
        <v>534</v>
      </c>
      <c r="L137" s="2">
        <v>258.62108999999998</v>
      </c>
      <c r="P137" s="2">
        <v>614</v>
      </c>
      <c r="Q137" s="7">
        <v>5021.7942999999996</v>
      </c>
      <c r="V137" s="2">
        <v>754</v>
      </c>
      <c r="W137" s="2">
        <v>9108.6320300000007</v>
      </c>
      <c r="Y137" s="2">
        <v>534</v>
      </c>
      <c r="Z137" s="2">
        <v>22452.321459999999</v>
      </c>
      <c r="AD137" s="2">
        <v>614</v>
      </c>
      <c r="AE137" s="2">
        <v>3745.6601099999998</v>
      </c>
      <c r="AG137" s="2">
        <v>614</v>
      </c>
      <c r="AH137" s="2">
        <v>3805.1436699999999</v>
      </c>
    </row>
    <row r="138" spans="2:34" x14ac:dyDescent="0.2">
      <c r="B138" s="2">
        <v>615</v>
      </c>
      <c r="C138" s="2">
        <v>180.14207999999999</v>
      </c>
      <c r="E138" s="2">
        <v>755</v>
      </c>
      <c r="F138" s="2">
        <v>253.02384000000001</v>
      </c>
      <c r="K138" s="2">
        <v>535</v>
      </c>
      <c r="L138" s="2">
        <v>470.36815000000001</v>
      </c>
      <c r="P138" s="2">
        <v>615</v>
      </c>
      <c r="Q138" s="7">
        <v>4747.2561900000001</v>
      </c>
      <c r="V138" s="2">
        <v>755</v>
      </c>
      <c r="W138" s="2">
        <v>8009.5904300000002</v>
      </c>
      <c r="Y138" s="2">
        <v>535</v>
      </c>
      <c r="Z138" s="2">
        <v>22863.11548</v>
      </c>
      <c r="AD138" s="2">
        <v>615</v>
      </c>
      <c r="AE138" s="2">
        <v>3920.2800499999998</v>
      </c>
      <c r="AG138" s="2">
        <v>615</v>
      </c>
      <c r="AH138" s="2">
        <v>3724.2728299999999</v>
      </c>
    </row>
    <row r="139" spans="2:34" x14ac:dyDescent="0.2">
      <c r="B139" s="2">
        <v>616</v>
      </c>
      <c r="C139" s="2">
        <v>209.03604999999999</v>
      </c>
      <c r="E139" s="2">
        <v>756</v>
      </c>
      <c r="F139" s="2">
        <v>345.84870000000001</v>
      </c>
      <c r="K139" s="2">
        <v>536</v>
      </c>
      <c r="L139" s="2">
        <v>327.68709999999999</v>
      </c>
      <c r="P139" s="2">
        <v>616</v>
      </c>
      <c r="Q139" s="7">
        <v>4671.0728300000001</v>
      </c>
      <c r="V139" s="2">
        <v>756</v>
      </c>
      <c r="W139" s="2">
        <v>7806.3073100000001</v>
      </c>
      <c r="Y139" s="2">
        <v>536</v>
      </c>
      <c r="Z139" s="2">
        <v>24240.079470000001</v>
      </c>
      <c r="AD139" s="2">
        <v>616</v>
      </c>
      <c r="AE139" s="2">
        <v>3908.5312100000001</v>
      </c>
      <c r="AG139" s="2">
        <v>616</v>
      </c>
      <c r="AH139" s="2">
        <v>3524.3643699999998</v>
      </c>
    </row>
    <row r="140" spans="2:34" x14ac:dyDescent="0.2">
      <c r="B140" s="2">
        <v>617</v>
      </c>
      <c r="C140" s="2">
        <v>164.37432999999999</v>
      </c>
      <c r="E140" s="2">
        <v>757</v>
      </c>
      <c r="F140" s="2">
        <v>576.55727999999999</v>
      </c>
      <c r="K140" s="2">
        <v>537</v>
      </c>
      <c r="L140" s="2">
        <v>201.61273</v>
      </c>
      <c r="P140" s="2">
        <v>617</v>
      </c>
      <c r="Q140" s="7">
        <v>4513.7080299999998</v>
      </c>
      <c r="V140" s="2">
        <v>757</v>
      </c>
      <c r="W140" s="2">
        <v>8167.3767799999996</v>
      </c>
      <c r="Y140" s="2">
        <v>537</v>
      </c>
      <c r="Z140" s="2">
        <v>26078.9211</v>
      </c>
      <c r="AD140" s="2">
        <v>617</v>
      </c>
      <c r="AE140" s="2">
        <v>3855.0608099999999</v>
      </c>
      <c r="AG140" s="2">
        <v>617</v>
      </c>
      <c r="AH140" s="2">
        <v>3337.1438199999998</v>
      </c>
    </row>
    <row r="141" spans="2:34" x14ac:dyDescent="0.2">
      <c r="B141" s="2">
        <v>618</v>
      </c>
      <c r="C141" s="2">
        <v>156.05690000000001</v>
      </c>
      <c r="E141" s="2">
        <v>758</v>
      </c>
      <c r="F141" s="2">
        <v>583.59649000000002</v>
      </c>
      <c r="K141" s="2">
        <v>538</v>
      </c>
      <c r="L141" s="2">
        <v>312.43385999999998</v>
      </c>
      <c r="P141" s="2">
        <v>618</v>
      </c>
      <c r="Q141" s="7">
        <v>4618.91345</v>
      </c>
      <c r="V141" s="2">
        <v>758</v>
      </c>
      <c r="W141" s="2">
        <v>8238.3574599999993</v>
      </c>
      <c r="Y141" s="2">
        <v>538</v>
      </c>
      <c r="Z141" s="2">
        <v>27149.303530000001</v>
      </c>
      <c r="AD141" s="2">
        <v>618</v>
      </c>
      <c r="AE141" s="2">
        <v>3698.6385500000001</v>
      </c>
      <c r="AG141" s="2">
        <v>618</v>
      </c>
      <c r="AH141" s="2">
        <v>3297.1653299999998</v>
      </c>
    </row>
    <row r="142" spans="2:34" x14ac:dyDescent="0.2">
      <c r="B142" s="2">
        <v>619</v>
      </c>
      <c r="C142" s="2">
        <v>221.76929000000001</v>
      </c>
      <c r="E142" s="2">
        <v>759</v>
      </c>
      <c r="F142" s="2">
        <v>104.29415</v>
      </c>
      <c r="K142" s="2">
        <v>539</v>
      </c>
      <c r="L142" s="2">
        <v>159.27457999999999</v>
      </c>
      <c r="P142" s="2">
        <v>619</v>
      </c>
      <c r="Q142" s="7">
        <v>4142.3966099999998</v>
      </c>
      <c r="V142" s="2">
        <v>759</v>
      </c>
      <c r="W142" s="2">
        <v>7498.6015799999996</v>
      </c>
      <c r="Y142" s="2">
        <v>539</v>
      </c>
      <c r="Z142" s="2">
        <v>27443.355439999999</v>
      </c>
      <c r="AD142" s="2">
        <v>619</v>
      </c>
      <c r="AE142" s="2">
        <v>3464.8625400000001</v>
      </c>
      <c r="AG142" s="2">
        <v>619</v>
      </c>
      <c r="AH142" s="2">
        <v>3327.4011</v>
      </c>
    </row>
    <row r="143" spans="2:34" x14ac:dyDescent="0.2">
      <c r="B143" s="2">
        <v>620</v>
      </c>
      <c r="C143" s="2">
        <v>158.11410000000001</v>
      </c>
      <c r="E143" s="2">
        <v>760</v>
      </c>
      <c r="F143" s="2">
        <v>363.66124000000002</v>
      </c>
      <c r="K143" s="2">
        <v>540</v>
      </c>
      <c r="L143" s="2">
        <v>423.12265000000002</v>
      </c>
      <c r="P143" s="2">
        <v>620</v>
      </c>
      <c r="Q143" s="7">
        <v>3953.5421200000001</v>
      </c>
      <c r="V143" s="2">
        <v>760</v>
      </c>
      <c r="W143" s="2">
        <v>6089.2578199999998</v>
      </c>
      <c r="Y143" s="2">
        <v>540</v>
      </c>
      <c r="Z143" s="2">
        <v>29033.794030000001</v>
      </c>
      <c r="AD143" s="2">
        <v>620</v>
      </c>
      <c r="AE143" s="2">
        <v>3539.17695</v>
      </c>
      <c r="AG143" s="2">
        <v>620</v>
      </c>
      <c r="AH143" s="2">
        <v>3101.9925600000001</v>
      </c>
    </row>
    <row r="144" spans="2:34" x14ac:dyDescent="0.2">
      <c r="B144" s="2">
        <v>621</v>
      </c>
      <c r="C144" s="2">
        <v>204.10936000000001</v>
      </c>
      <c r="E144" s="2">
        <v>761</v>
      </c>
      <c r="F144" s="2">
        <v>250.27694</v>
      </c>
      <c r="K144" s="2">
        <v>541</v>
      </c>
      <c r="L144" s="2">
        <v>329.70362999999998</v>
      </c>
      <c r="P144" s="2">
        <v>621</v>
      </c>
      <c r="Q144" s="7">
        <v>4116.1366900000003</v>
      </c>
      <c r="V144" s="2">
        <v>761</v>
      </c>
      <c r="W144" s="2">
        <v>7209.3875799999996</v>
      </c>
      <c r="Y144" s="2">
        <v>541</v>
      </c>
      <c r="Z144" s="2">
        <v>29938.396410000001</v>
      </c>
      <c r="AD144" s="2">
        <v>621</v>
      </c>
      <c r="AE144" s="2">
        <v>3530.7326899999998</v>
      </c>
      <c r="AG144" s="2">
        <v>621</v>
      </c>
      <c r="AH144" s="2">
        <v>3106.8261699999998</v>
      </c>
    </row>
    <row r="145" spans="2:34" x14ac:dyDescent="0.2">
      <c r="B145" s="2">
        <v>622</v>
      </c>
      <c r="C145" s="2">
        <v>197.62775999999999</v>
      </c>
      <c r="E145" s="2">
        <v>762</v>
      </c>
      <c r="F145" s="2">
        <v>616.8895</v>
      </c>
      <c r="K145" s="2">
        <v>542</v>
      </c>
      <c r="L145" s="2">
        <v>501.49752999999998</v>
      </c>
      <c r="P145" s="2">
        <v>622</v>
      </c>
      <c r="Q145" s="7">
        <v>3795.44</v>
      </c>
      <c r="V145" s="2">
        <v>762</v>
      </c>
      <c r="W145" s="2">
        <v>6100.9599699999999</v>
      </c>
      <c r="Y145" s="2">
        <v>542</v>
      </c>
      <c r="Z145" s="2">
        <v>31661.501100000001</v>
      </c>
      <c r="AD145" s="2">
        <v>622</v>
      </c>
      <c r="AE145" s="2">
        <v>3455.8310900000001</v>
      </c>
      <c r="AG145" s="2">
        <v>622</v>
      </c>
      <c r="AH145" s="2">
        <v>3123.6573899999999</v>
      </c>
    </row>
    <row r="146" spans="2:34" x14ac:dyDescent="0.2">
      <c r="B146" s="2">
        <v>623</v>
      </c>
      <c r="C146" s="2">
        <v>218.52195</v>
      </c>
      <c r="E146" s="2">
        <v>763</v>
      </c>
      <c r="F146" s="2">
        <v>-159.30205000000001</v>
      </c>
      <c r="K146" s="2">
        <v>543</v>
      </c>
      <c r="L146" s="2">
        <v>529.56169</v>
      </c>
      <c r="P146" s="2">
        <v>623</v>
      </c>
      <c r="Q146" s="7">
        <v>3557.4787500000002</v>
      </c>
      <c r="V146" s="2">
        <v>763</v>
      </c>
      <c r="W146" s="2">
        <v>6623.4446200000002</v>
      </c>
      <c r="Y146" s="2">
        <v>543</v>
      </c>
      <c r="Z146" s="2">
        <v>32820.890650000001</v>
      </c>
      <c r="AD146" s="2">
        <v>623</v>
      </c>
      <c r="AE146" s="2">
        <v>3409.7791900000002</v>
      </c>
      <c r="AG146" s="2">
        <v>623</v>
      </c>
      <c r="AH146" s="2">
        <v>3039.0610499999998</v>
      </c>
    </row>
    <row r="147" spans="2:34" x14ac:dyDescent="0.2">
      <c r="B147" s="2">
        <v>624</v>
      </c>
      <c r="C147" s="2">
        <v>206.67974000000001</v>
      </c>
      <c r="E147" s="2">
        <v>764</v>
      </c>
      <c r="F147" s="2">
        <v>62.155650000000001</v>
      </c>
      <c r="K147" s="2">
        <v>544</v>
      </c>
      <c r="L147" s="2">
        <v>307.46363000000002</v>
      </c>
      <c r="P147" s="2">
        <v>624</v>
      </c>
      <c r="Q147" s="7">
        <v>3622.7732900000001</v>
      </c>
      <c r="V147" s="2">
        <v>764</v>
      </c>
      <c r="W147" s="2">
        <v>6237.1921300000004</v>
      </c>
      <c r="Y147" s="2">
        <v>544</v>
      </c>
      <c r="Z147" s="2">
        <v>33663.007160000001</v>
      </c>
      <c r="AD147" s="2">
        <v>624</v>
      </c>
      <c r="AE147" s="2">
        <v>3486.2800900000002</v>
      </c>
      <c r="AG147" s="2">
        <v>624</v>
      </c>
      <c r="AH147" s="2">
        <v>2953.1435000000001</v>
      </c>
    </row>
    <row r="148" spans="2:34" x14ac:dyDescent="0.2">
      <c r="B148" s="2">
        <v>625</v>
      </c>
      <c r="C148" s="2">
        <v>179.30645999999999</v>
      </c>
      <c r="E148" s="2">
        <v>765</v>
      </c>
      <c r="F148" s="2">
        <v>113.48137</v>
      </c>
      <c r="K148" s="2">
        <v>545</v>
      </c>
      <c r="L148" s="2">
        <v>429.27695999999997</v>
      </c>
      <c r="P148" s="2">
        <v>625</v>
      </c>
      <c r="Q148" s="7">
        <v>3416.6662799999999</v>
      </c>
      <c r="V148" s="2">
        <v>765</v>
      </c>
      <c r="W148" s="2">
        <v>7116.05465</v>
      </c>
      <c r="Y148" s="2">
        <v>545</v>
      </c>
      <c r="Z148" s="2">
        <v>35078.42987</v>
      </c>
      <c r="AD148" s="2">
        <v>625</v>
      </c>
      <c r="AE148" s="2">
        <v>3381.2825699999999</v>
      </c>
      <c r="AG148" s="2">
        <v>625</v>
      </c>
      <c r="AH148" s="2">
        <v>2722.8040799999999</v>
      </c>
    </row>
    <row r="149" spans="2:34" x14ac:dyDescent="0.2">
      <c r="B149" s="2">
        <v>626</v>
      </c>
      <c r="C149" s="2">
        <v>245.91417999999999</v>
      </c>
      <c r="E149" s="2">
        <v>766</v>
      </c>
      <c r="F149" s="2">
        <v>1012.52493</v>
      </c>
      <c r="K149" s="2">
        <v>546</v>
      </c>
      <c r="L149" s="2">
        <v>300.90370999999999</v>
      </c>
      <c r="P149" s="2">
        <v>626</v>
      </c>
      <c r="Q149" s="7">
        <v>3432.1005500000001</v>
      </c>
      <c r="V149" s="2">
        <v>766</v>
      </c>
      <c r="W149" s="2">
        <v>5501.8550800000003</v>
      </c>
      <c r="Y149" s="2">
        <v>546</v>
      </c>
      <c r="Z149" s="2">
        <v>36761.024160000001</v>
      </c>
      <c r="AD149" s="2">
        <v>626</v>
      </c>
      <c r="AE149" s="2">
        <v>3635.4038500000001</v>
      </c>
      <c r="AG149" s="2">
        <v>626</v>
      </c>
      <c r="AH149" s="2">
        <v>2824.0932899999998</v>
      </c>
    </row>
    <row r="150" spans="2:34" x14ac:dyDescent="0.2">
      <c r="B150" s="2">
        <v>627</v>
      </c>
      <c r="C150" s="2">
        <v>238.21539000000001</v>
      </c>
      <c r="E150" s="2">
        <v>767</v>
      </c>
      <c r="F150" s="2">
        <v>298.61932000000002</v>
      </c>
      <c r="K150" s="2">
        <v>547</v>
      </c>
      <c r="L150" s="2">
        <v>406.58942999999999</v>
      </c>
      <c r="P150" s="2">
        <v>627</v>
      </c>
      <c r="Q150" s="7">
        <v>3234.3888400000001</v>
      </c>
      <c r="V150" s="2">
        <v>767</v>
      </c>
      <c r="W150" s="2">
        <v>5607.8330500000002</v>
      </c>
      <c r="Y150" s="2">
        <v>547</v>
      </c>
      <c r="Z150" s="2">
        <v>37649.003669999998</v>
      </c>
      <c r="AD150" s="2">
        <v>627</v>
      </c>
      <c r="AE150" s="2">
        <v>3573.7144600000001</v>
      </c>
      <c r="AG150" s="2">
        <v>627</v>
      </c>
      <c r="AH150" s="2">
        <v>2852.0035699999999</v>
      </c>
    </row>
    <row r="151" spans="2:34" x14ac:dyDescent="0.2">
      <c r="B151" s="2">
        <v>628</v>
      </c>
      <c r="C151" s="2">
        <v>284.23827999999997</v>
      </c>
      <c r="E151" s="2">
        <v>768</v>
      </c>
      <c r="F151" s="2">
        <v>-144.77391</v>
      </c>
      <c r="K151" s="2">
        <v>548</v>
      </c>
      <c r="L151" s="2">
        <v>303.14902999999998</v>
      </c>
      <c r="P151" s="2">
        <v>628</v>
      </c>
      <c r="Q151" s="7">
        <v>3102.1000399999998</v>
      </c>
      <c r="V151" s="2">
        <v>768</v>
      </c>
      <c r="W151" s="2">
        <v>4726.2017900000001</v>
      </c>
      <c r="Y151" s="2">
        <v>548</v>
      </c>
      <c r="Z151" s="2">
        <v>39633.895270000001</v>
      </c>
      <c r="AD151" s="2">
        <v>628</v>
      </c>
      <c r="AE151" s="2">
        <v>3787.4708099999998</v>
      </c>
      <c r="AG151" s="2">
        <v>628</v>
      </c>
      <c r="AH151" s="2">
        <v>2890.26638</v>
      </c>
    </row>
    <row r="152" spans="2:34" x14ac:dyDescent="0.2">
      <c r="B152" s="2">
        <v>629</v>
      </c>
      <c r="C152" s="2">
        <v>258.96026999999998</v>
      </c>
      <c r="E152" s="2">
        <v>769</v>
      </c>
      <c r="F152" s="2">
        <v>573.71663999999998</v>
      </c>
      <c r="K152" s="2">
        <v>549</v>
      </c>
      <c r="L152" s="2">
        <v>321.43392999999998</v>
      </c>
      <c r="P152" s="2">
        <v>629</v>
      </c>
      <c r="Q152" s="7">
        <v>2839.7189899999998</v>
      </c>
      <c r="V152" s="2">
        <v>769</v>
      </c>
      <c r="W152" s="2">
        <v>4811.6862700000001</v>
      </c>
      <c r="Y152" s="2">
        <v>549</v>
      </c>
      <c r="Z152" s="2">
        <v>40513.220800000003</v>
      </c>
      <c r="AD152" s="2">
        <v>629</v>
      </c>
      <c r="AE152" s="2">
        <v>3865.7009600000001</v>
      </c>
      <c r="AG152" s="2">
        <v>629</v>
      </c>
      <c r="AH152" s="2">
        <v>2714.0773100000001</v>
      </c>
    </row>
    <row r="153" spans="2:34" x14ac:dyDescent="0.2">
      <c r="B153" s="2">
        <v>630</v>
      </c>
      <c r="C153" s="2">
        <v>192.42596</v>
      </c>
      <c r="E153" s="2">
        <v>770</v>
      </c>
      <c r="F153" s="2">
        <v>283.78895999999997</v>
      </c>
      <c r="K153" s="2">
        <v>550</v>
      </c>
      <c r="L153" s="2">
        <v>182.14276000000001</v>
      </c>
      <c r="P153" s="2">
        <v>630</v>
      </c>
      <c r="Q153" s="7">
        <v>2714.9446899999998</v>
      </c>
      <c r="V153" s="2">
        <v>770</v>
      </c>
      <c r="W153" s="2">
        <v>5623.0895700000001</v>
      </c>
      <c r="Y153" s="2">
        <v>550</v>
      </c>
      <c r="Z153" s="2">
        <v>41103.613389999999</v>
      </c>
      <c r="AD153" s="2">
        <v>630</v>
      </c>
      <c r="AE153" s="2">
        <v>3991.2936399999999</v>
      </c>
      <c r="AG153" s="2">
        <v>630</v>
      </c>
      <c r="AH153" s="2">
        <v>2839.6544199999998</v>
      </c>
    </row>
    <row r="154" spans="2:34" x14ac:dyDescent="0.2">
      <c r="B154" s="2">
        <v>631</v>
      </c>
      <c r="C154" s="2">
        <v>189.20715000000001</v>
      </c>
      <c r="E154" s="2">
        <v>771</v>
      </c>
      <c r="F154" s="2">
        <v>1083.39831</v>
      </c>
      <c r="K154" s="2">
        <v>551</v>
      </c>
      <c r="L154" s="2">
        <v>323.74675999999999</v>
      </c>
      <c r="P154" s="2">
        <v>631</v>
      </c>
      <c r="Q154" s="7">
        <v>2865.6394300000002</v>
      </c>
      <c r="V154" s="2">
        <v>771</v>
      </c>
      <c r="W154" s="2">
        <v>4792.1176299999997</v>
      </c>
      <c r="Y154" s="2">
        <v>551</v>
      </c>
      <c r="Z154" s="2">
        <v>44151.290889999997</v>
      </c>
      <c r="AD154" s="2">
        <v>631</v>
      </c>
      <c r="AE154" s="2">
        <v>4176.7798300000004</v>
      </c>
      <c r="AG154" s="2">
        <v>631</v>
      </c>
      <c r="AH154" s="2">
        <v>2933.2609400000001</v>
      </c>
    </row>
    <row r="155" spans="2:34" x14ac:dyDescent="0.2">
      <c r="B155" s="2">
        <v>632</v>
      </c>
      <c r="C155" s="2">
        <v>253.53113999999999</v>
      </c>
      <c r="E155" s="2">
        <v>772</v>
      </c>
      <c r="F155" s="2">
        <v>515.43816000000004</v>
      </c>
      <c r="K155" s="2">
        <v>552</v>
      </c>
      <c r="L155" s="2">
        <v>422.16039999999998</v>
      </c>
      <c r="P155" s="2">
        <v>632</v>
      </c>
      <c r="Q155" s="7">
        <v>2827.5834100000002</v>
      </c>
      <c r="V155" s="2">
        <v>772</v>
      </c>
      <c r="W155" s="2">
        <v>4974.6650900000004</v>
      </c>
      <c r="Y155" s="2">
        <v>552</v>
      </c>
      <c r="Z155" s="2">
        <v>43871.104050000002</v>
      </c>
      <c r="AD155" s="2">
        <v>632</v>
      </c>
      <c r="AE155" s="2">
        <v>4469.5593099999996</v>
      </c>
      <c r="AG155" s="2">
        <v>632</v>
      </c>
      <c r="AH155" s="2">
        <v>2991.8252900000002</v>
      </c>
    </row>
    <row r="156" spans="2:34" x14ac:dyDescent="0.2">
      <c r="B156" s="2">
        <v>633</v>
      </c>
      <c r="C156" s="2">
        <v>199.01507000000001</v>
      </c>
      <c r="E156" s="2">
        <v>773</v>
      </c>
      <c r="F156" s="2">
        <v>579.31451000000004</v>
      </c>
      <c r="K156" s="2">
        <v>553</v>
      </c>
      <c r="L156" s="2">
        <v>157.42916</v>
      </c>
      <c r="P156" s="2">
        <v>633</v>
      </c>
      <c r="Q156" s="7">
        <v>2670.5265800000002</v>
      </c>
      <c r="V156" s="2">
        <v>773</v>
      </c>
      <c r="W156" s="2">
        <v>5020.9274699999996</v>
      </c>
      <c r="Y156" s="2">
        <v>553</v>
      </c>
      <c r="Z156" s="2">
        <v>46661.063829999999</v>
      </c>
      <c r="AD156" s="2">
        <v>633</v>
      </c>
      <c r="AE156" s="2">
        <v>4753.9953599999999</v>
      </c>
      <c r="AG156" s="2">
        <v>633</v>
      </c>
      <c r="AH156" s="2">
        <v>3086.1052100000002</v>
      </c>
    </row>
    <row r="157" spans="2:34" x14ac:dyDescent="0.2">
      <c r="B157" s="2">
        <v>634</v>
      </c>
      <c r="C157" s="2">
        <v>240.41757000000001</v>
      </c>
      <c r="E157" s="2">
        <v>774</v>
      </c>
      <c r="F157" s="2">
        <v>387.37736999999998</v>
      </c>
      <c r="K157" s="2">
        <v>554</v>
      </c>
      <c r="L157" s="2">
        <v>113.24281999999999</v>
      </c>
      <c r="P157" s="2">
        <v>634</v>
      </c>
      <c r="Q157" s="7">
        <v>2560.32503</v>
      </c>
      <c r="V157" s="2">
        <v>774</v>
      </c>
      <c r="W157" s="2">
        <v>5040.3061399999997</v>
      </c>
      <c r="Y157" s="2">
        <v>554</v>
      </c>
      <c r="Z157" s="2">
        <v>48107.758220000003</v>
      </c>
      <c r="AD157" s="2">
        <v>634</v>
      </c>
      <c r="AE157" s="2">
        <v>5169.8372399999998</v>
      </c>
      <c r="AG157" s="2">
        <v>634</v>
      </c>
      <c r="AH157" s="2">
        <v>3066.0282000000002</v>
      </c>
    </row>
    <row r="158" spans="2:34" x14ac:dyDescent="0.2">
      <c r="B158" s="2">
        <v>635</v>
      </c>
      <c r="C158" s="2">
        <v>273.77780999999999</v>
      </c>
      <c r="E158" s="2">
        <v>775</v>
      </c>
      <c r="F158" s="2">
        <v>305.41165999999998</v>
      </c>
      <c r="K158" s="2">
        <v>555</v>
      </c>
      <c r="L158" s="2">
        <v>122.67178</v>
      </c>
      <c r="P158" s="2">
        <v>635</v>
      </c>
      <c r="Q158" s="7">
        <v>2569.2524400000002</v>
      </c>
      <c r="V158" s="2">
        <v>775</v>
      </c>
      <c r="W158" s="2">
        <v>5023.2614700000004</v>
      </c>
      <c r="Y158" s="2">
        <v>555</v>
      </c>
      <c r="Z158" s="2">
        <v>48620.486149999997</v>
      </c>
      <c r="AD158" s="2">
        <v>635</v>
      </c>
      <c r="AE158" s="2">
        <v>5672.4137700000001</v>
      </c>
      <c r="AG158" s="2">
        <v>635</v>
      </c>
      <c r="AH158" s="2">
        <v>3386.7703000000001</v>
      </c>
    </row>
    <row r="159" spans="2:34" x14ac:dyDescent="0.2">
      <c r="B159" s="2">
        <v>636</v>
      </c>
      <c r="C159" s="2">
        <v>244.25873999999999</v>
      </c>
      <c r="E159" s="2">
        <v>776</v>
      </c>
      <c r="F159" s="2">
        <v>-14.70349</v>
      </c>
      <c r="K159" s="2">
        <v>556</v>
      </c>
      <c r="L159" s="2">
        <v>437.05781999999999</v>
      </c>
      <c r="P159" s="2">
        <v>636</v>
      </c>
      <c r="Q159" s="7">
        <v>2304.0917199999999</v>
      </c>
      <c r="V159" s="2">
        <v>776</v>
      </c>
      <c r="W159" s="2">
        <v>4733.2561500000002</v>
      </c>
      <c r="Y159" s="2">
        <v>556</v>
      </c>
      <c r="Z159" s="2">
        <v>50211.680659999998</v>
      </c>
      <c r="AD159" s="2">
        <v>636</v>
      </c>
      <c r="AE159" s="2">
        <v>6208.30339</v>
      </c>
      <c r="AG159" s="2">
        <v>636</v>
      </c>
      <c r="AH159" s="2">
        <v>3670.7367899999999</v>
      </c>
    </row>
    <row r="160" spans="2:34" x14ac:dyDescent="0.2">
      <c r="B160" s="2">
        <v>637</v>
      </c>
      <c r="C160" s="2">
        <v>338.58735000000001</v>
      </c>
      <c r="E160" s="2">
        <v>777</v>
      </c>
      <c r="F160" s="2">
        <v>491.24072000000001</v>
      </c>
      <c r="K160" s="2">
        <v>557</v>
      </c>
      <c r="L160" s="2">
        <v>276.74198999999999</v>
      </c>
      <c r="P160" s="2">
        <v>637</v>
      </c>
      <c r="Q160" s="7">
        <v>2269.7321700000002</v>
      </c>
      <c r="V160" s="2">
        <v>777</v>
      </c>
      <c r="W160" s="2">
        <v>4731.4972799999996</v>
      </c>
      <c r="Y160" s="2">
        <v>557</v>
      </c>
      <c r="Z160" s="2">
        <v>50710.024619999997</v>
      </c>
      <c r="AD160" s="2">
        <v>637</v>
      </c>
      <c r="AE160" s="2">
        <v>7024.2642299999998</v>
      </c>
      <c r="AG160" s="2">
        <v>637</v>
      </c>
      <c r="AH160" s="2">
        <v>3712.12273</v>
      </c>
    </row>
    <row r="161" spans="2:34" x14ac:dyDescent="0.2">
      <c r="B161" s="2">
        <v>638</v>
      </c>
      <c r="C161" s="2">
        <v>225.03325000000001</v>
      </c>
      <c r="E161" s="2">
        <v>778</v>
      </c>
      <c r="F161" s="2">
        <v>-286.09755000000001</v>
      </c>
      <c r="K161" s="2">
        <v>558</v>
      </c>
      <c r="L161" s="2">
        <v>323.68882000000002</v>
      </c>
      <c r="P161" s="2">
        <v>638</v>
      </c>
      <c r="Q161" s="7">
        <v>2259.8833599999998</v>
      </c>
      <c r="V161" s="2">
        <v>778</v>
      </c>
      <c r="W161" s="2">
        <v>3847.8376899999998</v>
      </c>
      <c r="Y161" s="2">
        <v>558</v>
      </c>
      <c r="Z161" s="2">
        <v>53461.980940000001</v>
      </c>
      <c r="AD161" s="2">
        <v>638</v>
      </c>
      <c r="AE161" s="2">
        <v>7175.1327700000002</v>
      </c>
      <c r="AG161" s="2">
        <v>638</v>
      </c>
      <c r="AH161" s="2">
        <v>4154.7706399999997</v>
      </c>
    </row>
    <row r="162" spans="2:34" x14ac:dyDescent="0.2">
      <c r="B162" s="2">
        <v>639</v>
      </c>
      <c r="C162" s="2">
        <v>341.72816</v>
      </c>
      <c r="E162" s="2">
        <v>779</v>
      </c>
      <c r="F162" s="2">
        <v>869.04638999999997</v>
      </c>
      <c r="K162" s="2">
        <v>559</v>
      </c>
      <c r="L162" s="2">
        <v>-30.044789999999999</v>
      </c>
      <c r="P162" s="2">
        <v>639</v>
      </c>
      <c r="Q162" s="7">
        <v>2037.9021299999999</v>
      </c>
      <c r="V162" s="2">
        <v>779</v>
      </c>
      <c r="W162" s="2">
        <v>3527.7057199999999</v>
      </c>
      <c r="Y162" s="2">
        <v>559</v>
      </c>
      <c r="Z162" s="2">
        <v>54223.745329999998</v>
      </c>
      <c r="AD162" s="2">
        <v>639</v>
      </c>
      <c r="AE162" s="2">
        <v>8128.9869200000003</v>
      </c>
      <c r="AG162" s="2">
        <v>639</v>
      </c>
      <c r="AH162" s="2">
        <v>4337.8367799999996</v>
      </c>
    </row>
    <row r="163" spans="2:34" x14ac:dyDescent="0.2">
      <c r="B163" s="2">
        <v>640</v>
      </c>
      <c r="C163" s="2">
        <v>282.29759000000001</v>
      </c>
      <c r="E163" s="2">
        <v>780</v>
      </c>
      <c r="F163" s="2">
        <v>755.33408999999995</v>
      </c>
      <c r="K163" s="2">
        <v>560</v>
      </c>
      <c r="L163" s="2">
        <v>134.36609999999999</v>
      </c>
      <c r="P163" s="2">
        <v>640</v>
      </c>
      <c r="Q163" s="7">
        <v>1962.19525</v>
      </c>
      <c r="V163" s="2">
        <v>780</v>
      </c>
      <c r="W163" s="2">
        <v>3411.4226699999999</v>
      </c>
      <c r="Y163" s="2">
        <v>560</v>
      </c>
      <c r="Z163" s="2">
        <v>56707.112520000002</v>
      </c>
      <c r="AD163" s="2">
        <v>640</v>
      </c>
      <c r="AE163" s="2">
        <v>9454.7966199999992</v>
      </c>
      <c r="AG163" s="2">
        <v>640</v>
      </c>
      <c r="AH163" s="2">
        <v>4718.93649</v>
      </c>
    </row>
    <row r="164" spans="2:34" x14ac:dyDescent="0.2">
      <c r="B164" s="2">
        <v>641</v>
      </c>
      <c r="C164" s="2">
        <v>230.07626999999999</v>
      </c>
      <c r="E164" s="2">
        <v>781</v>
      </c>
      <c r="F164" s="2">
        <v>858.72920999999997</v>
      </c>
      <c r="K164" s="2">
        <v>561</v>
      </c>
      <c r="L164" s="2">
        <v>180.92580000000001</v>
      </c>
      <c r="P164" s="2">
        <v>641</v>
      </c>
      <c r="Q164" s="7">
        <v>1903.08232</v>
      </c>
      <c r="V164" s="2">
        <v>781</v>
      </c>
      <c r="W164" s="2">
        <v>3185.57834</v>
      </c>
      <c r="Y164" s="2">
        <v>561</v>
      </c>
      <c r="Z164" s="2">
        <v>57572.861369999999</v>
      </c>
      <c r="AD164" s="2">
        <v>641</v>
      </c>
      <c r="AE164" s="2">
        <v>10821.70096</v>
      </c>
      <c r="AG164" s="2">
        <v>641</v>
      </c>
      <c r="AH164" s="2">
        <v>5160.2443499999999</v>
      </c>
    </row>
    <row r="165" spans="2:34" x14ac:dyDescent="0.2">
      <c r="B165" s="2">
        <v>642</v>
      </c>
      <c r="C165" s="2">
        <v>331.81367</v>
      </c>
      <c r="E165" s="2">
        <v>782</v>
      </c>
      <c r="F165" s="2">
        <v>966.16654000000005</v>
      </c>
      <c r="K165" s="2">
        <v>562</v>
      </c>
      <c r="L165" s="2">
        <v>291.98018999999999</v>
      </c>
      <c r="P165" s="2">
        <v>642</v>
      </c>
      <c r="Q165" s="7">
        <v>1953.7394899999999</v>
      </c>
      <c r="V165" s="2">
        <v>782</v>
      </c>
      <c r="W165" s="2">
        <v>4044.35131</v>
      </c>
      <c r="Y165" s="2">
        <v>562</v>
      </c>
      <c r="Z165" s="2">
        <v>59936.739289999998</v>
      </c>
      <c r="AD165" s="2">
        <v>642</v>
      </c>
      <c r="AE165" s="2">
        <v>11293.965179999999</v>
      </c>
      <c r="AG165" s="2">
        <v>642</v>
      </c>
      <c r="AH165" s="2">
        <v>5566.0028400000001</v>
      </c>
    </row>
    <row r="166" spans="2:34" x14ac:dyDescent="0.2">
      <c r="B166" s="2">
        <v>643</v>
      </c>
      <c r="C166" s="2">
        <v>262.86415</v>
      </c>
      <c r="E166" s="2">
        <v>783</v>
      </c>
      <c r="F166" s="2">
        <v>882.27899000000002</v>
      </c>
      <c r="K166" s="2">
        <v>563</v>
      </c>
      <c r="L166" s="2">
        <v>265.16095000000001</v>
      </c>
      <c r="P166" s="2">
        <v>643</v>
      </c>
      <c r="Q166" s="7">
        <v>1912.32178</v>
      </c>
      <c r="V166" s="2">
        <v>783</v>
      </c>
      <c r="W166" s="2">
        <v>3905.5860499999999</v>
      </c>
      <c r="Y166" s="2">
        <v>563</v>
      </c>
      <c r="Z166" s="2">
        <v>61404.344660000002</v>
      </c>
      <c r="AD166" s="2">
        <v>643</v>
      </c>
      <c r="AE166" s="2">
        <v>12797.346879999999</v>
      </c>
      <c r="AG166" s="2">
        <v>643</v>
      </c>
      <c r="AH166" s="2">
        <v>6107.50162</v>
      </c>
    </row>
    <row r="167" spans="2:34" x14ac:dyDescent="0.2">
      <c r="B167" s="2">
        <v>644</v>
      </c>
      <c r="C167" s="2">
        <v>286.90361999999999</v>
      </c>
      <c r="E167" s="2">
        <v>784</v>
      </c>
      <c r="F167" s="2">
        <v>-179.02700999999999</v>
      </c>
      <c r="K167" s="2">
        <v>564</v>
      </c>
      <c r="L167" s="2">
        <v>312.66331000000002</v>
      </c>
      <c r="P167" s="2">
        <v>644</v>
      </c>
      <c r="Q167" s="7">
        <v>1829.38094</v>
      </c>
      <c r="V167" s="2">
        <v>784</v>
      </c>
      <c r="W167" s="2">
        <v>2740.74071</v>
      </c>
      <c r="Y167" s="2">
        <v>564</v>
      </c>
      <c r="Z167" s="2">
        <v>62917.132550000002</v>
      </c>
      <c r="AD167" s="2">
        <v>644</v>
      </c>
      <c r="AE167" s="2">
        <v>13756.139649999999</v>
      </c>
      <c r="AG167" s="2">
        <v>644</v>
      </c>
      <c r="AH167" s="2">
        <v>6494.9431400000003</v>
      </c>
    </row>
    <row r="168" spans="2:34" x14ac:dyDescent="0.2">
      <c r="B168" s="2">
        <v>645</v>
      </c>
      <c r="C168" s="2">
        <v>254.26838000000001</v>
      </c>
      <c r="E168" s="2">
        <v>785</v>
      </c>
      <c r="F168" s="2">
        <v>-148.55888999999999</v>
      </c>
      <c r="K168" s="2">
        <v>565</v>
      </c>
      <c r="L168" s="2">
        <v>220.10441</v>
      </c>
      <c r="P168" s="2">
        <v>645</v>
      </c>
      <c r="Q168" s="7">
        <v>1791.86445</v>
      </c>
      <c r="V168" s="2">
        <v>785</v>
      </c>
      <c r="W168" s="2">
        <v>4074.5093499999998</v>
      </c>
      <c r="Y168" s="2">
        <v>565</v>
      </c>
      <c r="Z168" s="2">
        <v>65040.805249999998</v>
      </c>
      <c r="AD168" s="2">
        <v>645</v>
      </c>
      <c r="AE168" s="2">
        <v>15646.292439999999</v>
      </c>
      <c r="AG168" s="2">
        <v>645</v>
      </c>
      <c r="AH168" s="2">
        <v>7058.2992599999998</v>
      </c>
    </row>
    <row r="169" spans="2:34" x14ac:dyDescent="0.2">
      <c r="B169" s="2">
        <v>646</v>
      </c>
      <c r="C169" s="2">
        <v>276.17959999999999</v>
      </c>
      <c r="E169" s="2">
        <v>786</v>
      </c>
      <c r="F169" s="2">
        <v>817.47551999999996</v>
      </c>
      <c r="K169" s="2">
        <v>566</v>
      </c>
      <c r="L169" s="2">
        <v>118.25131</v>
      </c>
      <c r="P169" s="2">
        <v>646</v>
      </c>
      <c r="Q169" s="7">
        <v>1708.95841</v>
      </c>
      <c r="V169" s="2">
        <v>786</v>
      </c>
      <c r="W169" s="2">
        <v>3855.0518400000001</v>
      </c>
      <c r="Y169" s="2">
        <v>566</v>
      </c>
      <c r="Z169" s="2">
        <v>69305.996830000004</v>
      </c>
      <c r="AD169" s="2">
        <v>646</v>
      </c>
      <c r="AE169" s="2">
        <v>16801.68547</v>
      </c>
      <c r="AG169" s="2">
        <v>646</v>
      </c>
      <c r="AH169" s="2">
        <v>7635.4328699999996</v>
      </c>
    </row>
    <row r="170" spans="2:34" x14ac:dyDescent="0.2">
      <c r="B170" s="2">
        <v>647</v>
      </c>
      <c r="C170" s="2">
        <v>232.59477000000001</v>
      </c>
      <c r="E170" s="2">
        <v>787</v>
      </c>
      <c r="F170" s="2">
        <v>-185.96449000000001</v>
      </c>
      <c r="K170" s="2">
        <v>567</v>
      </c>
      <c r="L170" s="2">
        <v>313.70742000000001</v>
      </c>
      <c r="P170" s="2">
        <v>647</v>
      </c>
      <c r="Q170" s="7">
        <v>1609.7500700000001</v>
      </c>
      <c r="V170" s="2">
        <v>787</v>
      </c>
      <c r="W170" s="2">
        <v>3337.2091300000002</v>
      </c>
      <c r="Y170" s="2">
        <v>567</v>
      </c>
      <c r="Z170" s="2">
        <v>69461.12818</v>
      </c>
      <c r="AD170" s="2">
        <v>647</v>
      </c>
      <c r="AE170" s="2">
        <v>18569.242249999999</v>
      </c>
      <c r="AG170" s="2">
        <v>647</v>
      </c>
      <c r="AH170" s="2">
        <v>8424.4154799999997</v>
      </c>
    </row>
    <row r="171" spans="2:34" x14ac:dyDescent="0.2">
      <c r="B171" s="2">
        <v>648</v>
      </c>
      <c r="C171" s="2">
        <v>153.75380999999999</v>
      </c>
      <c r="E171" s="2">
        <v>788</v>
      </c>
      <c r="F171" s="2">
        <v>-222.48524</v>
      </c>
      <c r="K171" s="2">
        <v>568</v>
      </c>
      <c r="L171" s="2">
        <v>80.957509999999999</v>
      </c>
      <c r="P171" s="2">
        <v>648</v>
      </c>
      <c r="Q171" s="7">
        <v>1425.7466400000001</v>
      </c>
      <c r="V171" s="2">
        <v>788</v>
      </c>
      <c r="W171" s="2">
        <v>4486.3724599999996</v>
      </c>
      <c r="Y171" s="2">
        <v>568</v>
      </c>
      <c r="Z171" s="2">
        <v>74609.392510000005</v>
      </c>
      <c r="AD171" s="2">
        <v>648</v>
      </c>
      <c r="AE171" s="2">
        <v>20575.082160000002</v>
      </c>
      <c r="AG171" s="2">
        <v>648</v>
      </c>
      <c r="AH171" s="2">
        <v>9341.1193800000001</v>
      </c>
    </row>
    <row r="172" spans="2:34" x14ac:dyDescent="0.2">
      <c r="B172" s="2">
        <v>649</v>
      </c>
      <c r="C172" s="2">
        <v>257.35230000000001</v>
      </c>
      <c r="E172" s="2">
        <v>789</v>
      </c>
      <c r="F172" s="2">
        <v>916.27396999999996</v>
      </c>
      <c r="K172" s="2">
        <v>569</v>
      </c>
      <c r="L172" s="2">
        <v>519.09204999999997</v>
      </c>
      <c r="P172" s="2">
        <v>649</v>
      </c>
      <c r="Q172" s="7">
        <v>1582.22073</v>
      </c>
      <c r="V172" s="2">
        <v>789</v>
      </c>
      <c r="W172" s="2">
        <v>2905.9995899999999</v>
      </c>
      <c r="Y172" s="2">
        <v>569</v>
      </c>
      <c r="Z172" s="2">
        <v>74939.953380000006</v>
      </c>
      <c r="AD172" s="2">
        <v>649</v>
      </c>
      <c r="AE172" s="2">
        <v>22775.033189999998</v>
      </c>
      <c r="AG172" s="2">
        <v>649</v>
      </c>
      <c r="AH172" s="2">
        <v>9597.1624599999996</v>
      </c>
    </row>
    <row r="173" spans="2:34" x14ac:dyDescent="0.2">
      <c r="B173" s="2">
        <v>650</v>
      </c>
      <c r="C173" s="2">
        <v>305.3897</v>
      </c>
      <c r="E173" s="2">
        <v>790</v>
      </c>
      <c r="F173" s="2">
        <v>893.30703000000005</v>
      </c>
      <c r="K173" s="2">
        <v>570</v>
      </c>
      <c r="L173" s="2">
        <v>62.780740000000002</v>
      </c>
      <c r="P173" s="2">
        <v>650</v>
      </c>
      <c r="Q173" s="7">
        <v>1715.67804</v>
      </c>
      <c r="V173" s="2">
        <v>790</v>
      </c>
      <c r="W173" s="2">
        <v>4081.5853699999998</v>
      </c>
      <c r="Y173" s="2">
        <v>570</v>
      </c>
      <c r="Z173" s="2">
        <v>77849.453299999994</v>
      </c>
      <c r="AD173" s="2">
        <v>650</v>
      </c>
      <c r="AE173" s="2">
        <v>24162.848419999998</v>
      </c>
      <c r="AG173" s="2">
        <v>650</v>
      </c>
      <c r="AH173" s="2">
        <v>10714.07487</v>
      </c>
    </row>
    <row r="174" spans="2:34" x14ac:dyDescent="0.2">
      <c r="B174" s="2">
        <v>651</v>
      </c>
      <c r="C174" s="2">
        <v>364.27519000000001</v>
      </c>
      <c r="E174" s="2">
        <v>791</v>
      </c>
      <c r="F174" s="2">
        <v>1151.72804</v>
      </c>
      <c r="K174" s="2">
        <v>571</v>
      </c>
      <c r="L174" s="2">
        <v>420.62358</v>
      </c>
      <c r="P174" s="2">
        <v>651</v>
      </c>
      <c r="Q174" s="7">
        <v>1343.74775</v>
      </c>
      <c r="V174" s="2">
        <v>791</v>
      </c>
      <c r="W174" s="2">
        <v>3114.8610100000001</v>
      </c>
      <c r="Y174" s="2">
        <v>571</v>
      </c>
      <c r="Z174" s="2">
        <v>82071.875029999996</v>
      </c>
      <c r="AD174" s="2">
        <v>651</v>
      </c>
      <c r="AE174" s="2">
        <v>26150.446759999999</v>
      </c>
      <c r="AG174" s="2">
        <v>651</v>
      </c>
      <c r="AH174" s="2">
        <v>11340.29493</v>
      </c>
    </row>
    <row r="175" spans="2:34" x14ac:dyDescent="0.2">
      <c r="B175" s="2">
        <v>652</v>
      </c>
      <c r="C175" s="2">
        <v>275.52375999999998</v>
      </c>
      <c r="E175" s="2">
        <v>792</v>
      </c>
      <c r="F175" s="2">
        <v>17.916620000000002</v>
      </c>
      <c r="K175" s="2">
        <v>572</v>
      </c>
      <c r="L175" s="2">
        <v>289.43687999999997</v>
      </c>
      <c r="P175" s="2">
        <v>652</v>
      </c>
      <c r="Q175" s="7">
        <v>1328.8293100000001</v>
      </c>
      <c r="V175" s="2">
        <v>792</v>
      </c>
      <c r="W175" s="2">
        <v>4345.6918999999998</v>
      </c>
      <c r="Y175" s="2">
        <v>572</v>
      </c>
      <c r="Z175" s="2">
        <v>84900.957630000004</v>
      </c>
      <c r="AD175" s="2">
        <v>652</v>
      </c>
      <c r="AE175" s="2">
        <v>28529.61966</v>
      </c>
      <c r="AG175" s="2">
        <v>652</v>
      </c>
      <c r="AH175" s="2">
        <v>12380.86159</v>
      </c>
    </row>
    <row r="176" spans="2:34" x14ac:dyDescent="0.2">
      <c r="B176" s="2">
        <v>653</v>
      </c>
      <c r="C176" s="2">
        <v>219.42786000000001</v>
      </c>
      <c r="E176" s="2">
        <v>793</v>
      </c>
      <c r="F176" s="2">
        <v>562.16863999999998</v>
      </c>
      <c r="K176" s="2">
        <v>573</v>
      </c>
      <c r="L176" s="2">
        <v>233.874</v>
      </c>
      <c r="P176" s="2">
        <v>653</v>
      </c>
      <c r="Q176" s="7">
        <v>1428.9439</v>
      </c>
      <c r="V176" s="2">
        <v>793</v>
      </c>
      <c r="W176" s="2">
        <v>3222.3905100000002</v>
      </c>
      <c r="Y176" s="2">
        <v>573</v>
      </c>
      <c r="Z176" s="2">
        <v>89604.80287</v>
      </c>
      <c r="AD176" s="2">
        <v>653</v>
      </c>
      <c r="AE176" s="2">
        <v>29951.51757</v>
      </c>
      <c r="AG176" s="2">
        <v>653</v>
      </c>
      <c r="AH176" s="2">
        <v>13024.34866</v>
      </c>
    </row>
    <row r="177" spans="2:34" x14ac:dyDescent="0.2">
      <c r="B177" s="2">
        <v>654</v>
      </c>
      <c r="C177" s="2">
        <v>276.54388999999998</v>
      </c>
      <c r="E177" s="2">
        <v>794</v>
      </c>
      <c r="F177" s="2">
        <v>1118.2356299999999</v>
      </c>
      <c r="K177" s="2">
        <v>574</v>
      </c>
      <c r="L177" s="2">
        <v>54.16189</v>
      </c>
      <c r="P177" s="2">
        <v>654</v>
      </c>
      <c r="Q177" s="7">
        <v>1234.5136</v>
      </c>
      <c r="V177" s="2">
        <v>794</v>
      </c>
      <c r="W177" s="2">
        <v>2719.6467899999998</v>
      </c>
      <c r="Y177" s="2">
        <v>574</v>
      </c>
      <c r="Z177" s="2">
        <v>94950.442379999993</v>
      </c>
      <c r="AD177" s="2">
        <v>654</v>
      </c>
      <c r="AE177" s="2">
        <v>32450.08037</v>
      </c>
      <c r="AG177" s="2">
        <v>654</v>
      </c>
      <c r="AH177" s="2">
        <v>14051.40365</v>
      </c>
    </row>
    <row r="178" spans="2:34" x14ac:dyDescent="0.2">
      <c r="B178" s="2">
        <v>655</v>
      </c>
      <c r="C178" s="2">
        <v>239.97614999999999</v>
      </c>
      <c r="E178" s="2">
        <v>795</v>
      </c>
      <c r="F178" s="2">
        <v>1462.0139200000001</v>
      </c>
      <c r="K178" s="2">
        <v>575</v>
      </c>
      <c r="L178" s="2">
        <v>245.20428000000001</v>
      </c>
      <c r="P178" s="2">
        <v>655</v>
      </c>
      <c r="Q178" s="7">
        <v>1265.38256</v>
      </c>
      <c r="V178" s="2">
        <v>795</v>
      </c>
      <c r="W178" s="2">
        <v>3113.2231999999999</v>
      </c>
      <c r="Y178" s="2">
        <v>575</v>
      </c>
      <c r="Z178" s="2">
        <v>98137.754029999996</v>
      </c>
      <c r="AD178" s="2">
        <v>655</v>
      </c>
      <c r="AE178" s="2">
        <v>33720.24727</v>
      </c>
      <c r="AG178" s="2">
        <v>655</v>
      </c>
      <c r="AH178" s="2">
        <v>14427.49992</v>
      </c>
    </row>
    <row r="179" spans="2:34" x14ac:dyDescent="0.2">
      <c r="B179" s="2">
        <v>656</v>
      </c>
      <c r="C179" s="2">
        <v>205.29768999999999</v>
      </c>
      <c r="E179" s="2">
        <v>796</v>
      </c>
      <c r="F179" s="2">
        <v>-242.78704999999999</v>
      </c>
      <c r="K179" s="2">
        <v>576</v>
      </c>
      <c r="L179" s="2">
        <v>92.758089999999996</v>
      </c>
      <c r="P179" s="2">
        <v>656</v>
      </c>
      <c r="Q179" s="7">
        <v>1368.4294</v>
      </c>
      <c r="V179" s="2">
        <v>796</v>
      </c>
      <c r="W179" s="2">
        <v>3363.8339500000002</v>
      </c>
      <c r="Y179" s="2">
        <v>576</v>
      </c>
      <c r="Z179" s="2">
        <v>101494.47026</v>
      </c>
      <c r="AD179" s="2">
        <v>656</v>
      </c>
      <c r="AE179" s="2">
        <v>35890.961669999997</v>
      </c>
      <c r="AG179" s="2">
        <v>656</v>
      </c>
      <c r="AH179" s="2">
        <v>14600.909470000001</v>
      </c>
    </row>
    <row r="180" spans="2:34" x14ac:dyDescent="0.2">
      <c r="B180" s="2">
        <v>657</v>
      </c>
      <c r="C180" s="2">
        <v>296.60989999999998</v>
      </c>
      <c r="E180" s="2">
        <v>797</v>
      </c>
      <c r="F180" s="2">
        <v>94.279439999999994</v>
      </c>
      <c r="K180" s="2">
        <v>577</v>
      </c>
      <c r="L180" s="2">
        <v>313.53796</v>
      </c>
      <c r="P180" s="2">
        <v>657</v>
      </c>
      <c r="Q180" s="7">
        <v>1151.4844399999999</v>
      </c>
      <c r="V180" s="2">
        <v>797</v>
      </c>
      <c r="W180" s="2">
        <v>2616.2381300000002</v>
      </c>
      <c r="Y180" s="2">
        <v>577</v>
      </c>
      <c r="Z180" s="2">
        <v>106341.96024</v>
      </c>
      <c r="AD180" s="2">
        <v>657</v>
      </c>
      <c r="AE180" s="2">
        <v>37123.810109999999</v>
      </c>
      <c r="AG180" s="2">
        <v>657</v>
      </c>
      <c r="AH180" s="2">
        <v>15997.10421</v>
      </c>
    </row>
    <row r="181" spans="2:34" x14ac:dyDescent="0.2">
      <c r="B181" s="2">
        <v>658</v>
      </c>
      <c r="C181" s="2">
        <v>239.96287000000001</v>
      </c>
      <c r="E181" s="2">
        <v>798</v>
      </c>
      <c r="F181" s="2">
        <v>743.45429999999999</v>
      </c>
      <c r="K181" s="2">
        <v>578</v>
      </c>
      <c r="L181" s="2">
        <v>-41.297609999999999</v>
      </c>
      <c r="P181" s="2">
        <v>658</v>
      </c>
      <c r="Q181" s="7">
        <v>1207.08088</v>
      </c>
      <c r="V181" s="2">
        <v>798</v>
      </c>
      <c r="W181" s="2">
        <v>3353.0848099999998</v>
      </c>
      <c r="Y181" s="2">
        <v>578</v>
      </c>
      <c r="Z181" s="2">
        <v>110705.07919999999</v>
      </c>
      <c r="AD181" s="2">
        <v>658</v>
      </c>
      <c r="AE181" s="2">
        <v>39137.31061</v>
      </c>
      <c r="AG181" s="2">
        <v>658</v>
      </c>
      <c r="AH181" s="2">
        <v>16633.457450000002</v>
      </c>
    </row>
    <row r="182" spans="2:34" x14ac:dyDescent="0.2">
      <c r="B182" s="2">
        <v>659</v>
      </c>
      <c r="C182" s="2">
        <v>187.51675</v>
      </c>
      <c r="E182" s="2">
        <v>799</v>
      </c>
      <c r="F182" s="2">
        <v>1020.35536</v>
      </c>
      <c r="K182" s="2">
        <v>579</v>
      </c>
      <c r="L182" s="2">
        <v>410.59124000000003</v>
      </c>
      <c r="P182" s="2">
        <v>659</v>
      </c>
      <c r="Q182" s="7">
        <v>1189.61283</v>
      </c>
      <c r="V182" s="2">
        <v>799</v>
      </c>
      <c r="W182" s="2">
        <v>2857.0450900000001</v>
      </c>
      <c r="Y182" s="2">
        <v>579</v>
      </c>
      <c r="Z182" s="2">
        <v>114540.31642</v>
      </c>
      <c r="AD182" s="2">
        <v>659</v>
      </c>
      <c r="AE182" s="2">
        <v>40165.80704</v>
      </c>
      <c r="AG182" s="2">
        <v>659</v>
      </c>
      <c r="AH182" s="2">
        <v>16903.514279999999</v>
      </c>
    </row>
    <row r="183" spans="2:34" x14ac:dyDescent="0.2">
      <c r="B183" s="2">
        <v>660</v>
      </c>
      <c r="C183" s="2">
        <v>245.67930000000001</v>
      </c>
      <c r="E183" s="2">
        <v>800</v>
      </c>
      <c r="F183" s="2">
        <v>-174.76132000000001</v>
      </c>
      <c r="K183" s="2">
        <v>580</v>
      </c>
      <c r="L183" s="2">
        <v>189.45334</v>
      </c>
      <c r="P183" s="2">
        <v>660</v>
      </c>
      <c r="Q183" s="7">
        <v>1086.69507</v>
      </c>
      <c r="V183" s="2">
        <v>800</v>
      </c>
      <c r="W183" s="2">
        <v>2771.3410899999999</v>
      </c>
      <c r="Y183" s="2">
        <v>580</v>
      </c>
      <c r="Z183" s="2">
        <v>121633.51979000001</v>
      </c>
      <c r="AD183" s="2">
        <v>660</v>
      </c>
      <c r="AE183" s="2">
        <v>41167.843200000003</v>
      </c>
      <c r="AG183" s="2">
        <v>660</v>
      </c>
      <c r="AH183" s="2">
        <v>17431.295590000002</v>
      </c>
    </row>
    <row r="184" spans="2:34" x14ac:dyDescent="0.2">
      <c r="B184" s="2">
        <v>661</v>
      </c>
      <c r="C184" s="2">
        <v>242.81844000000001</v>
      </c>
      <c r="K184" s="2">
        <v>581</v>
      </c>
      <c r="L184" s="2">
        <v>295.13819999999998</v>
      </c>
      <c r="P184" s="2">
        <v>661</v>
      </c>
      <c r="Q184" s="7">
        <v>1023.84262</v>
      </c>
      <c r="Y184" s="2">
        <v>581</v>
      </c>
      <c r="Z184" s="2">
        <v>126600.94680999999</v>
      </c>
      <c r="AD184" s="2">
        <v>661</v>
      </c>
      <c r="AE184" s="2">
        <v>42719.067929999997</v>
      </c>
      <c r="AG184" s="2">
        <v>661</v>
      </c>
      <c r="AH184" s="2">
        <v>17848.59994</v>
      </c>
    </row>
    <row r="185" spans="2:34" x14ac:dyDescent="0.2">
      <c r="B185" s="2">
        <v>662</v>
      </c>
      <c r="C185" s="2">
        <v>245.93333999999999</v>
      </c>
      <c r="K185" s="2">
        <v>582</v>
      </c>
      <c r="L185" s="2">
        <v>160.2063</v>
      </c>
      <c r="P185" s="2">
        <v>662</v>
      </c>
      <c r="Q185" s="7">
        <v>1009.9231600000001</v>
      </c>
      <c r="Y185" s="2">
        <v>582</v>
      </c>
      <c r="Z185" s="2">
        <v>132630.86186</v>
      </c>
      <c r="AD185" s="2">
        <v>662</v>
      </c>
      <c r="AE185" s="2">
        <v>43157.201200000003</v>
      </c>
      <c r="AG185" s="2">
        <v>662</v>
      </c>
      <c r="AH185" s="2">
        <v>18061.107220000002</v>
      </c>
    </row>
    <row r="186" spans="2:34" x14ac:dyDescent="0.2">
      <c r="B186" s="2">
        <v>663</v>
      </c>
      <c r="C186" s="2">
        <v>266.33823999999998</v>
      </c>
      <c r="K186" s="2">
        <v>583</v>
      </c>
      <c r="L186" s="2">
        <v>73.779309999999995</v>
      </c>
      <c r="P186" s="2">
        <v>663</v>
      </c>
      <c r="Q186" s="7">
        <v>1133.03882</v>
      </c>
      <c r="Y186" s="2">
        <v>583</v>
      </c>
      <c r="Z186" s="2">
        <v>139286.28479999999</v>
      </c>
      <c r="AD186" s="2">
        <v>663</v>
      </c>
      <c r="AE186" s="2">
        <v>44025.625959999998</v>
      </c>
      <c r="AG186" s="2">
        <v>663</v>
      </c>
      <c r="AH186" s="2">
        <v>18284.730159999999</v>
      </c>
    </row>
    <row r="187" spans="2:34" x14ac:dyDescent="0.2">
      <c r="B187" s="2">
        <v>664</v>
      </c>
      <c r="C187" s="2">
        <v>225.62231</v>
      </c>
      <c r="K187" s="2">
        <v>584</v>
      </c>
      <c r="L187" s="2">
        <v>351.79372000000001</v>
      </c>
      <c r="P187" s="2">
        <v>664</v>
      </c>
      <c r="Q187" s="7">
        <v>1127.78051</v>
      </c>
      <c r="Y187" s="2">
        <v>584</v>
      </c>
      <c r="Z187" s="2">
        <v>144627.02175000001</v>
      </c>
      <c r="AD187" s="2">
        <v>664</v>
      </c>
      <c r="AE187" s="2">
        <v>44311.65382</v>
      </c>
      <c r="AG187" s="2">
        <v>664</v>
      </c>
      <c r="AH187" s="2">
        <v>18490.609550000001</v>
      </c>
    </row>
    <row r="188" spans="2:34" x14ac:dyDescent="0.2">
      <c r="B188" s="2">
        <v>665</v>
      </c>
      <c r="C188" s="2">
        <v>275.87927000000002</v>
      </c>
      <c r="K188" s="2">
        <v>585</v>
      </c>
      <c r="L188" s="2">
        <v>179.87996999999999</v>
      </c>
      <c r="P188" s="2">
        <v>665</v>
      </c>
      <c r="Q188" s="7">
        <v>1061.0271</v>
      </c>
      <c r="Y188" s="2">
        <v>585</v>
      </c>
      <c r="Z188" s="2">
        <v>151535.03029</v>
      </c>
      <c r="AD188" s="2">
        <v>665</v>
      </c>
      <c r="AE188" s="2">
        <v>44328.593930000003</v>
      </c>
      <c r="AG188" s="2">
        <v>665</v>
      </c>
      <c r="AH188" s="2">
        <v>18551.78299</v>
      </c>
    </row>
    <row r="189" spans="2:34" x14ac:dyDescent="0.2">
      <c r="B189" s="2">
        <v>666</v>
      </c>
      <c r="C189" s="2">
        <v>309.60041000000001</v>
      </c>
      <c r="K189" s="2">
        <v>586</v>
      </c>
      <c r="L189" s="2">
        <v>334.97879999999998</v>
      </c>
      <c r="P189" s="2">
        <v>666</v>
      </c>
      <c r="Q189" s="7">
        <v>925.17317000000003</v>
      </c>
      <c r="Y189" s="2">
        <v>586</v>
      </c>
      <c r="Z189" s="2">
        <v>156870.82420999999</v>
      </c>
      <c r="AD189" s="2">
        <v>666</v>
      </c>
      <c r="AE189" s="2">
        <v>44387.008900000001</v>
      </c>
      <c r="AG189" s="2">
        <v>666</v>
      </c>
      <c r="AH189" s="2">
        <v>18791.844700000001</v>
      </c>
    </row>
    <row r="190" spans="2:34" x14ac:dyDescent="0.2">
      <c r="B190" s="2">
        <v>667</v>
      </c>
      <c r="C190" s="2">
        <v>221.94241</v>
      </c>
      <c r="K190" s="2">
        <v>587</v>
      </c>
      <c r="L190" s="2">
        <v>239.57165000000001</v>
      </c>
      <c r="P190" s="2">
        <v>667</v>
      </c>
      <c r="Q190" s="7">
        <v>907.93604000000005</v>
      </c>
      <c r="Y190" s="2">
        <v>587</v>
      </c>
      <c r="Z190" s="2">
        <v>162412.71158999999</v>
      </c>
      <c r="AD190" s="2">
        <v>667</v>
      </c>
      <c r="AE190" s="2">
        <v>44688.938190000001</v>
      </c>
      <c r="AG190" s="2">
        <v>667</v>
      </c>
      <c r="AH190" s="2">
        <v>18142.588230000001</v>
      </c>
    </row>
    <row r="191" spans="2:34" x14ac:dyDescent="0.2">
      <c r="B191" s="2">
        <v>668</v>
      </c>
      <c r="C191" s="2">
        <v>233.89168000000001</v>
      </c>
      <c r="K191" s="2">
        <v>588</v>
      </c>
      <c r="L191" s="2">
        <v>493.82736999999997</v>
      </c>
      <c r="P191" s="2">
        <v>668</v>
      </c>
      <c r="Q191" s="7">
        <v>1002.42958</v>
      </c>
      <c r="Y191" s="2">
        <v>588</v>
      </c>
      <c r="Z191" s="2">
        <v>168228.77582000001</v>
      </c>
      <c r="AD191" s="2">
        <v>668</v>
      </c>
      <c r="AE191" s="2">
        <v>43803.813219999996</v>
      </c>
      <c r="AG191" s="2">
        <v>668</v>
      </c>
      <c r="AH191" s="2">
        <v>18271.396489999999</v>
      </c>
    </row>
    <row r="192" spans="2:34" x14ac:dyDescent="0.2">
      <c r="B192" s="2">
        <v>669</v>
      </c>
      <c r="C192" s="2">
        <v>284.30090000000001</v>
      </c>
      <c r="K192" s="2">
        <v>589</v>
      </c>
      <c r="L192" s="2">
        <v>310.93000999999998</v>
      </c>
      <c r="P192" s="2">
        <v>669</v>
      </c>
      <c r="Q192" s="7">
        <v>869.81916000000001</v>
      </c>
      <c r="Y192" s="2">
        <v>589</v>
      </c>
      <c r="Z192" s="2">
        <v>174050.95396000001</v>
      </c>
      <c r="AD192" s="2">
        <v>669</v>
      </c>
      <c r="AE192" s="2">
        <v>42613.423020000002</v>
      </c>
      <c r="AG192" s="2">
        <v>669</v>
      </c>
      <c r="AH192" s="2">
        <v>18190.98661</v>
      </c>
    </row>
    <row r="193" spans="2:34" x14ac:dyDescent="0.2">
      <c r="B193" s="2">
        <v>670</v>
      </c>
      <c r="C193" s="2">
        <v>272.36121000000003</v>
      </c>
      <c r="K193" s="2">
        <v>590</v>
      </c>
      <c r="L193" s="2">
        <v>204.91164000000001</v>
      </c>
      <c r="P193" s="2">
        <v>670</v>
      </c>
      <c r="Q193" s="7">
        <v>862.64364</v>
      </c>
      <c r="Y193" s="2">
        <v>590</v>
      </c>
      <c r="Z193" s="2">
        <v>180294.84354</v>
      </c>
      <c r="AD193" s="2">
        <v>670</v>
      </c>
      <c r="AE193" s="2">
        <v>42692.299859999999</v>
      </c>
      <c r="AG193" s="2">
        <v>670</v>
      </c>
      <c r="AH193" s="2">
        <v>17462.72638</v>
      </c>
    </row>
    <row r="194" spans="2:34" x14ac:dyDescent="0.2">
      <c r="B194" s="2">
        <v>671</v>
      </c>
      <c r="C194" s="2">
        <v>431.20177000000001</v>
      </c>
      <c r="K194" s="2">
        <v>591</v>
      </c>
      <c r="L194" s="2">
        <v>147.06665000000001</v>
      </c>
      <c r="P194" s="2">
        <v>671</v>
      </c>
      <c r="Q194" s="7">
        <v>846.75775999999996</v>
      </c>
      <c r="Y194" s="2">
        <v>591</v>
      </c>
      <c r="Z194" s="2">
        <v>183967.59748999999</v>
      </c>
      <c r="AD194" s="2">
        <v>671</v>
      </c>
      <c r="AE194" s="2">
        <v>40257.017520000001</v>
      </c>
      <c r="AG194" s="2">
        <v>671</v>
      </c>
      <c r="AH194" s="2">
        <v>17018.656490000001</v>
      </c>
    </row>
    <row r="195" spans="2:34" x14ac:dyDescent="0.2">
      <c r="B195" s="2">
        <v>672</v>
      </c>
      <c r="C195" s="2">
        <v>322.96719999999999</v>
      </c>
      <c r="K195" s="2">
        <v>592</v>
      </c>
      <c r="L195" s="2">
        <v>290.76902999999999</v>
      </c>
      <c r="P195" s="2">
        <v>672</v>
      </c>
      <c r="Q195" s="7">
        <v>810.86053000000004</v>
      </c>
      <c r="Y195" s="2">
        <v>592</v>
      </c>
      <c r="Z195" s="2">
        <v>189632.00570000001</v>
      </c>
      <c r="AD195" s="2">
        <v>672</v>
      </c>
      <c r="AE195" s="2">
        <v>39725.317230000001</v>
      </c>
      <c r="AG195" s="2">
        <v>672</v>
      </c>
      <c r="AH195" s="2">
        <v>16587.138640000001</v>
      </c>
    </row>
    <row r="196" spans="2:34" x14ac:dyDescent="0.2">
      <c r="B196" s="2">
        <v>673</v>
      </c>
      <c r="C196" s="2">
        <v>310.85665</v>
      </c>
      <c r="K196" s="2">
        <v>593</v>
      </c>
      <c r="L196" s="2">
        <v>416.47107999999997</v>
      </c>
      <c r="P196" s="2">
        <v>673</v>
      </c>
      <c r="Q196" s="7">
        <v>930.52274999999997</v>
      </c>
      <c r="Y196" s="2">
        <v>593</v>
      </c>
      <c r="Z196" s="2">
        <v>194960.65852999999</v>
      </c>
      <c r="AD196" s="2">
        <v>673</v>
      </c>
      <c r="AE196" s="2">
        <v>37976.553820000001</v>
      </c>
      <c r="AG196" s="2">
        <v>673</v>
      </c>
      <c r="AH196" s="2">
        <v>15479.043960000001</v>
      </c>
    </row>
    <row r="197" spans="2:34" x14ac:dyDescent="0.2">
      <c r="B197" s="2">
        <v>674</v>
      </c>
      <c r="C197" s="2">
        <v>288.3639</v>
      </c>
      <c r="K197" s="2">
        <v>594</v>
      </c>
      <c r="L197" s="2">
        <v>286.87276000000003</v>
      </c>
      <c r="P197" s="2">
        <v>674</v>
      </c>
      <c r="Q197" s="7">
        <v>749.62885000000006</v>
      </c>
      <c r="Y197" s="2">
        <v>594</v>
      </c>
      <c r="Z197" s="2">
        <v>198658.73558000001</v>
      </c>
      <c r="AD197" s="2">
        <v>674</v>
      </c>
      <c r="AE197" s="2">
        <v>36772.468399999998</v>
      </c>
      <c r="AG197" s="2">
        <v>674</v>
      </c>
      <c r="AH197" s="2">
        <v>15544.421609999999</v>
      </c>
    </row>
    <row r="198" spans="2:34" x14ac:dyDescent="0.2">
      <c r="B198" s="2">
        <v>675</v>
      </c>
      <c r="C198" s="2">
        <v>299.32461999999998</v>
      </c>
      <c r="K198" s="2">
        <v>595</v>
      </c>
      <c r="L198" s="2">
        <v>332.49227000000002</v>
      </c>
      <c r="P198" s="2">
        <v>675</v>
      </c>
      <c r="Q198" s="7">
        <v>772.76886999999999</v>
      </c>
      <c r="Y198" s="2">
        <v>595</v>
      </c>
      <c r="Z198" s="2">
        <v>201684.22333000001</v>
      </c>
      <c r="AD198" s="2">
        <v>675</v>
      </c>
      <c r="AE198" s="2">
        <v>35658.783320000002</v>
      </c>
      <c r="AG198" s="2">
        <v>675</v>
      </c>
      <c r="AH198" s="2">
        <v>14961.82834</v>
      </c>
    </row>
    <row r="199" spans="2:34" x14ac:dyDescent="0.2">
      <c r="B199" s="2">
        <v>676</v>
      </c>
      <c r="C199" s="2">
        <v>348.77839999999998</v>
      </c>
      <c r="K199" s="2">
        <v>596</v>
      </c>
      <c r="L199" s="2">
        <v>293.68002000000001</v>
      </c>
      <c r="P199" s="2">
        <v>676</v>
      </c>
      <c r="Q199" s="7">
        <v>825.61816999999996</v>
      </c>
      <c r="Y199" s="2">
        <v>596</v>
      </c>
      <c r="Z199" s="2">
        <v>200926.44276000001</v>
      </c>
      <c r="AD199" s="2">
        <v>676</v>
      </c>
      <c r="AE199" s="2">
        <v>34040.43417</v>
      </c>
      <c r="AG199" s="2">
        <v>676</v>
      </c>
      <c r="AH199" s="2">
        <v>14444.05666</v>
      </c>
    </row>
    <row r="200" spans="2:34" x14ac:dyDescent="0.2">
      <c r="B200" s="2">
        <v>677</v>
      </c>
      <c r="C200" s="2">
        <v>283.60631000000001</v>
      </c>
      <c r="K200" s="2">
        <v>597</v>
      </c>
      <c r="L200" s="2">
        <v>-46.152700000000003</v>
      </c>
      <c r="P200" s="2">
        <v>677</v>
      </c>
      <c r="Q200" s="7">
        <v>814.47364000000005</v>
      </c>
      <c r="Y200" s="2">
        <v>597</v>
      </c>
      <c r="Z200" s="2">
        <v>207608.60324999999</v>
      </c>
      <c r="AD200" s="2">
        <v>677</v>
      </c>
      <c r="AE200" s="2">
        <v>32932.97825</v>
      </c>
      <c r="AG200" s="2">
        <v>677</v>
      </c>
      <c r="AH200" s="2">
        <v>14225.961359999999</v>
      </c>
    </row>
    <row r="201" spans="2:34" x14ac:dyDescent="0.2">
      <c r="B201" s="2">
        <v>678</v>
      </c>
      <c r="C201" s="2">
        <v>198.47685000000001</v>
      </c>
      <c r="K201" s="2">
        <v>598</v>
      </c>
      <c r="L201" s="2">
        <v>397.18292000000002</v>
      </c>
      <c r="P201" s="2">
        <v>678</v>
      </c>
      <c r="Q201" s="7">
        <v>811.39886999999999</v>
      </c>
      <c r="Y201" s="2">
        <v>598</v>
      </c>
      <c r="Z201" s="2">
        <v>207965.00599999999</v>
      </c>
      <c r="AD201" s="2">
        <v>678</v>
      </c>
      <c r="AE201" s="2">
        <v>31497.490450000001</v>
      </c>
      <c r="AG201" s="2">
        <v>678</v>
      </c>
      <c r="AH201" s="2">
        <v>13585.06151</v>
      </c>
    </row>
    <row r="202" spans="2:34" x14ac:dyDescent="0.2">
      <c r="B202" s="2">
        <v>679</v>
      </c>
      <c r="C202" s="2">
        <v>360.39368999999999</v>
      </c>
      <c r="K202" s="2">
        <v>599</v>
      </c>
      <c r="L202" s="2">
        <v>40.315150000000003</v>
      </c>
      <c r="P202" s="2">
        <v>679</v>
      </c>
      <c r="Q202" s="7">
        <v>725.48703</v>
      </c>
      <c r="Y202" s="2">
        <v>599</v>
      </c>
      <c r="Z202" s="2">
        <v>208253.38209999999</v>
      </c>
      <c r="AD202" s="2">
        <v>679</v>
      </c>
      <c r="AE202" s="2">
        <v>30384.785609999999</v>
      </c>
      <c r="AG202" s="2">
        <v>679</v>
      </c>
      <c r="AH202" s="2">
        <v>12672.15438</v>
      </c>
    </row>
    <row r="203" spans="2:34" x14ac:dyDescent="0.2">
      <c r="B203" s="2">
        <v>680</v>
      </c>
      <c r="C203" s="2">
        <v>354.37097</v>
      </c>
      <c r="K203" s="2">
        <v>600</v>
      </c>
      <c r="L203" s="2">
        <v>7.69278</v>
      </c>
      <c r="P203" s="2">
        <v>680</v>
      </c>
      <c r="Q203" s="7">
        <v>837.52836000000002</v>
      </c>
      <c r="Y203" s="2">
        <v>600</v>
      </c>
      <c r="Z203" s="2">
        <v>211966.27160000001</v>
      </c>
      <c r="AD203" s="2">
        <v>680</v>
      </c>
      <c r="AE203" s="2">
        <v>28248.849129999999</v>
      </c>
      <c r="AG203" s="2">
        <v>680</v>
      </c>
      <c r="AH203" s="2">
        <v>12482.183709999999</v>
      </c>
    </row>
    <row r="204" spans="2:34" x14ac:dyDescent="0.2">
      <c r="B204" s="2">
        <v>681</v>
      </c>
      <c r="C204" s="2">
        <v>247.81675000000001</v>
      </c>
      <c r="K204" s="2">
        <v>601</v>
      </c>
      <c r="L204" s="2">
        <v>107.48231</v>
      </c>
      <c r="P204" s="2">
        <v>681</v>
      </c>
      <c r="Q204" s="7">
        <v>750.86973</v>
      </c>
      <c r="Y204" s="2">
        <v>601</v>
      </c>
      <c r="Z204" s="2">
        <v>209401.94912</v>
      </c>
      <c r="AD204" s="2">
        <v>681</v>
      </c>
      <c r="AE204" s="2">
        <v>27765.060819999999</v>
      </c>
      <c r="AG204" s="2">
        <v>681</v>
      </c>
      <c r="AH204" s="2">
        <v>11448.972900000001</v>
      </c>
    </row>
    <row r="205" spans="2:34" x14ac:dyDescent="0.2">
      <c r="B205" s="2">
        <v>682</v>
      </c>
      <c r="C205" s="2">
        <v>353.48845999999998</v>
      </c>
      <c r="K205" s="2">
        <v>602</v>
      </c>
      <c r="L205" s="2">
        <v>342.72746999999998</v>
      </c>
      <c r="P205" s="2">
        <v>682</v>
      </c>
      <c r="Q205" s="7">
        <v>668.60663999999997</v>
      </c>
      <c r="Y205" s="2">
        <v>602</v>
      </c>
      <c r="Z205" s="2">
        <v>210147.02638</v>
      </c>
      <c r="AD205" s="2">
        <v>682</v>
      </c>
      <c r="AE205" s="2">
        <v>26505.694950000001</v>
      </c>
      <c r="AG205" s="2">
        <v>682</v>
      </c>
      <c r="AH205" s="2">
        <v>10750.5144</v>
      </c>
    </row>
    <row r="206" spans="2:34" x14ac:dyDescent="0.2">
      <c r="B206" s="2">
        <v>683</v>
      </c>
      <c r="C206" s="2">
        <v>358.37650000000002</v>
      </c>
      <c r="K206" s="2">
        <v>603</v>
      </c>
      <c r="L206" s="2">
        <v>221.14779999999999</v>
      </c>
      <c r="P206" s="2">
        <v>683</v>
      </c>
      <c r="Q206" s="7">
        <v>663.98609999999996</v>
      </c>
      <c r="Y206" s="2">
        <v>603</v>
      </c>
      <c r="Z206" s="2">
        <v>211144.46958</v>
      </c>
      <c r="AD206" s="2">
        <v>683</v>
      </c>
      <c r="AE206" s="2">
        <v>25243.741259999999</v>
      </c>
      <c r="AG206" s="2">
        <v>683</v>
      </c>
      <c r="AH206" s="2">
        <v>10575.213369999999</v>
      </c>
    </row>
    <row r="207" spans="2:34" x14ac:dyDescent="0.2">
      <c r="B207" s="2">
        <v>684</v>
      </c>
      <c r="C207" s="2">
        <v>301.14877000000001</v>
      </c>
      <c r="K207" s="2">
        <v>604</v>
      </c>
      <c r="L207" s="2">
        <v>594.57743000000005</v>
      </c>
      <c r="P207" s="2">
        <v>684</v>
      </c>
      <c r="Q207" s="7">
        <v>627.75584000000003</v>
      </c>
      <c r="Y207" s="2">
        <v>604</v>
      </c>
      <c r="Z207" s="2">
        <v>211872.96528</v>
      </c>
      <c r="AD207" s="2">
        <v>684</v>
      </c>
      <c r="AE207" s="2">
        <v>23917.188190000001</v>
      </c>
      <c r="AG207" s="2">
        <v>684</v>
      </c>
      <c r="AH207" s="2">
        <v>10259.14863</v>
      </c>
    </row>
    <row r="208" spans="2:34" x14ac:dyDescent="0.2">
      <c r="B208" s="2">
        <v>685</v>
      </c>
      <c r="C208" s="2">
        <v>356.35617999999999</v>
      </c>
      <c r="K208" s="2">
        <v>605</v>
      </c>
      <c r="L208" s="2">
        <v>189.35668999999999</v>
      </c>
      <c r="P208" s="2">
        <v>685</v>
      </c>
      <c r="Q208" s="7">
        <v>780.64824999999996</v>
      </c>
      <c r="Y208" s="2">
        <v>605</v>
      </c>
      <c r="Z208" s="2">
        <v>211784.89722000001</v>
      </c>
      <c r="AD208" s="2">
        <v>685</v>
      </c>
      <c r="AE208" s="2">
        <v>22467.010480000001</v>
      </c>
      <c r="AG208" s="2">
        <v>685</v>
      </c>
      <c r="AH208" s="2">
        <v>9779.9740000000002</v>
      </c>
    </row>
    <row r="209" spans="2:34" x14ac:dyDescent="0.2">
      <c r="B209" s="2">
        <v>686</v>
      </c>
      <c r="C209" s="2">
        <v>261.79959000000002</v>
      </c>
      <c r="K209" s="2">
        <v>606</v>
      </c>
      <c r="L209" s="2">
        <v>303.47354000000001</v>
      </c>
      <c r="P209" s="2">
        <v>686</v>
      </c>
      <c r="Q209" s="7">
        <v>617.39995999999996</v>
      </c>
      <c r="Y209" s="2">
        <v>606</v>
      </c>
      <c r="Z209" s="2">
        <v>213286.47003999999</v>
      </c>
      <c r="AD209" s="2">
        <v>686</v>
      </c>
      <c r="AE209" s="2">
        <v>21321.177049999998</v>
      </c>
      <c r="AG209" s="2">
        <v>686</v>
      </c>
      <c r="AH209" s="2">
        <v>9167.9621700000007</v>
      </c>
    </row>
    <row r="210" spans="2:34" x14ac:dyDescent="0.2">
      <c r="B210" s="2">
        <v>687</v>
      </c>
      <c r="C210" s="2">
        <v>423.72910999999999</v>
      </c>
      <c r="K210" s="2">
        <v>607</v>
      </c>
      <c r="L210" s="2">
        <v>212.98137</v>
      </c>
      <c r="P210" s="2">
        <v>687</v>
      </c>
      <c r="Q210" s="7">
        <v>698.20786999999996</v>
      </c>
      <c r="Y210" s="2">
        <v>607</v>
      </c>
      <c r="Z210" s="2">
        <v>211230.35240999999</v>
      </c>
      <c r="AD210" s="2">
        <v>687</v>
      </c>
      <c r="AE210" s="2">
        <v>19903.40193</v>
      </c>
      <c r="AG210" s="2">
        <v>687</v>
      </c>
      <c r="AH210" s="2">
        <v>8695.8475699999999</v>
      </c>
    </row>
    <row r="211" spans="2:34" x14ac:dyDescent="0.2">
      <c r="B211" s="2">
        <v>688</v>
      </c>
      <c r="C211" s="2">
        <v>433.93209000000002</v>
      </c>
      <c r="K211" s="2">
        <v>608</v>
      </c>
      <c r="L211" s="2">
        <v>30.744250000000001</v>
      </c>
      <c r="P211" s="2">
        <v>688</v>
      </c>
      <c r="Q211" s="7">
        <v>615.45681999999999</v>
      </c>
      <c r="Y211" s="2">
        <v>608</v>
      </c>
      <c r="Z211" s="2">
        <v>214228.74473000001</v>
      </c>
      <c r="AD211" s="2">
        <v>688</v>
      </c>
      <c r="AE211" s="2">
        <v>19299.238659999999</v>
      </c>
      <c r="AG211" s="2">
        <v>688</v>
      </c>
      <c r="AH211" s="2">
        <v>8515.1617200000001</v>
      </c>
    </row>
    <row r="212" spans="2:34" x14ac:dyDescent="0.2">
      <c r="B212" s="2">
        <v>689</v>
      </c>
      <c r="C212" s="2">
        <v>323.67009999999999</v>
      </c>
      <c r="K212" s="2">
        <v>609</v>
      </c>
      <c r="L212" s="2">
        <v>382.91640999999998</v>
      </c>
      <c r="P212" s="2">
        <v>689</v>
      </c>
      <c r="Q212" s="7">
        <v>664.71010999999999</v>
      </c>
      <c r="Y212" s="2">
        <v>609</v>
      </c>
      <c r="Z212" s="2">
        <v>212840.54829000001</v>
      </c>
      <c r="AD212" s="2">
        <v>689</v>
      </c>
      <c r="AE212" s="2">
        <v>18854.551090000001</v>
      </c>
      <c r="AG212" s="2">
        <v>689</v>
      </c>
      <c r="AH212" s="2">
        <v>8103.7932700000001</v>
      </c>
    </row>
    <row r="213" spans="2:34" x14ac:dyDescent="0.2">
      <c r="B213" s="2">
        <v>690</v>
      </c>
      <c r="C213" s="2">
        <v>361.63767000000001</v>
      </c>
      <c r="K213" s="2">
        <v>610</v>
      </c>
      <c r="L213" s="2">
        <v>234.58946</v>
      </c>
      <c r="P213" s="2">
        <v>690</v>
      </c>
      <c r="Q213" s="7">
        <v>657.53711999999996</v>
      </c>
      <c r="Y213" s="2">
        <v>610</v>
      </c>
      <c r="Z213" s="2">
        <v>218285.09643999999</v>
      </c>
      <c r="AD213" s="2">
        <v>690</v>
      </c>
      <c r="AE213" s="2">
        <v>17731.237450000001</v>
      </c>
      <c r="AG213" s="2">
        <v>690</v>
      </c>
      <c r="AH213" s="2">
        <v>7544.9940299999998</v>
      </c>
    </row>
    <row r="214" spans="2:34" x14ac:dyDescent="0.2">
      <c r="B214" s="2">
        <v>691</v>
      </c>
      <c r="C214" s="2">
        <v>457.22397999999998</v>
      </c>
      <c r="K214" s="2">
        <v>611</v>
      </c>
      <c r="L214" s="2">
        <v>594.75203999999997</v>
      </c>
      <c r="P214" s="2">
        <v>691</v>
      </c>
      <c r="Q214" s="7">
        <v>464.09152999999998</v>
      </c>
      <c r="Y214" s="2">
        <v>611</v>
      </c>
      <c r="Z214" s="2">
        <v>219587.13122000001</v>
      </c>
      <c r="AD214" s="2">
        <v>691</v>
      </c>
      <c r="AE214" s="2">
        <v>16897.059280000001</v>
      </c>
      <c r="AG214" s="2">
        <v>691</v>
      </c>
      <c r="AH214" s="2">
        <v>7074.5344800000003</v>
      </c>
    </row>
    <row r="215" spans="2:34" x14ac:dyDescent="0.2">
      <c r="B215" s="2">
        <v>692</v>
      </c>
      <c r="C215" s="2">
        <v>546.97749999999996</v>
      </c>
      <c r="K215" s="2">
        <v>612</v>
      </c>
      <c r="L215" s="2">
        <v>300.02661999999998</v>
      </c>
      <c r="P215" s="2">
        <v>692</v>
      </c>
      <c r="Q215" s="7">
        <v>681.65661</v>
      </c>
      <c r="Y215" s="2">
        <v>612</v>
      </c>
      <c r="Z215" s="2">
        <v>220483.4376</v>
      </c>
      <c r="AD215" s="2">
        <v>692</v>
      </c>
      <c r="AE215" s="2">
        <v>16028.95808</v>
      </c>
      <c r="AG215" s="2">
        <v>692</v>
      </c>
      <c r="AH215" s="2">
        <v>6847.4435299999996</v>
      </c>
    </row>
    <row r="216" spans="2:34" x14ac:dyDescent="0.2">
      <c r="B216" s="2">
        <v>693</v>
      </c>
      <c r="C216" s="2">
        <v>497.36383000000001</v>
      </c>
      <c r="K216" s="2">
        <v>613</v>
      </c>
      <c r="L216" s="2">
        <v>-226.90405000000001</v>
      </c>
      <c r="P216" s="2">
        <v>693</v>
      </c>
      <c r="Q216" s="7">
        <v>668.90922999999998</v>
      </c>
      <c r="Y216" s="2">
        <v>613</v>
      </c>
      <c r="Z216" s="2">
        <v>229037.04993000001</v>
      </c>
      <c r="AD216" s="2">
        <v>693</v>
      </c>
      <c r="AE216" s="2">
        <v>15559.964739999999</v>
      </c>
      <c r="AG216" s="2">
        <v>693</v>
      </c>
      <c r="AH216" s="2">
        <v>7423.2375899999997</v>
      </c>
    </row>
    <row r="217" spans="2:34" x14ac:dyDescent="0.2">
      <c r="B217" s="2">
        <v>694</v>
      </c>
      <c r="C217" s="2">
        <v>445.75477000000001</v>
      </c>
      <c r="K217" s="2">
        <v>614</v>
      </c>
      <c r="L217" s="2">
        <v>207.96543</v>
      </c>
      <c r="P217" s="2">
        <v>694</v>
      </c>
      <c r="Q217" s="7">
        <v>577.15781000000004</v>
      </c>
      <c r="Y217" s="2">
        <v>614</v>
      </c>
      <c r="Z217" s="2">
        <v>229355.88170999999</v>
      </c>
      <c r="AD217" s="2">
        <v>694</v>
      </c>
      <c r="AE217" s="2">
        <v>14571.185100000001</v>
      </c>
      <c r="AG217" s="2">
        <v>694</v>
      </c>
      <c r="AH217" s="2">
        <v>6276.4309300000004</v>
      </c>
    </row>
    <row r="218" spans="2:34" x14ac:dyDescent="0.2">
      <c r="B218" s="2">
        <v>695</v>
      </c>
      <c r="C218" s="2">
        <v>474.75256000000002</v>
      </c>
      <c r="K218" s="2">
        <v>615</v>
      </c>
      <c r="L218" s="2">
        <v>407.10453999999999</v>
      </c>
      <c r="P218" s="2">
        <v>695</v>
      </c>
      <c r="Q218" s="7">
        <v>656.41851999999994</v>
      </c>
      <c r="Y218" s="2">
        <v>615</v>
      </c>
      <c r="Z218" s="2">
        <v>237914.35146000001</v>
      </c>
      <c r="AD218" s="2">
        <v>695</v>
      </c>
      <c r="AE218" s="2">
        <v>14208.558139999999</v>
      </c>
      <c r="AG218" s="2">
        <v>695</v>
      </c>
      <c r="AH218" s="2">
        <v>6064.9467100000002</v>
      </c>
    </row>
    <row r="219" spans="2:34" x14ac:dyDescent="0.2">
      <c r="B219" s="2">
        <v>696</v>
      </c>
      <c r="C219" s="2">
        <v>453.66759000000002</v>
      </c>
      <c r="K219" s="2">
        <v>616</v>
      </c>
      <c r="L219" s="2">
        <v>227.86997</v>
      </c>
      <c r="P219" s="2">
        <v>696</v>
      </c>
      <c r="Q219" s="7">
        <v>420.01251999999999</v>
      </c>
      <c r="Y219" s="2">
        <v>616</v>
      </c>
      <c r="Z219" s="2">
        <v>241772.52208</v>
      </c>
      <c r="AD219" s="2">
        <v>696</v>
      </c>
      <c r="AE219" s="2">
        <v>13892.327219999999</v>
      </c>
      <c r="AG219" s="2">
        <v>696</v>
      </c>
      <c r="AH219" s="2">
        <v>6093.4548500000001</v>
      </c>
    </row>
    <row r="220" spans="2:34" x14ac:dyDescent="0.2">
      <c r="B220" s="2">
        <v>697</v>
      </c>
      <c r="C220" s="2">
        <v>524.95905000000005</v>
      </c>
      <c r="K220" s="2">
        <v>617</v>
      </c>
      <c r="L220" s="2">
        <v>183.04381000000001</v>
      </c>
      <c r="P220" s="2">
        <v>697</v>
      </c>
      <c r="Q220" s="7">
        <v>623.13887</v>
      </c>
      <c r="Y220" s="2">
        <v>617</v>
      </c>
      <c r="Z220" s="2">
        <v>252620.39365000001</v>
      </c>
      <c r="AD220" s="2">
        <v>697</v>
      </c>
      <c r="AE220" s="2">
        <v>13028.359930000001</v>
      </c>
      <c r="AG220" s="2">
        <v>697</v>
      </c>
      <c r="AH220" s="2">
        <v>5741.2129199999999</v>
      </c>
    </row>
    <row r="221" spans="2:34" x14ac:dyDescent="0.2">
      <c r="B221" s="2">
        <v>698</v>
      </c>
      <c r="C221" s="2">
        <v>366.30029000000002</v>
      </c>
      <c r="K221" s="2">
        <v>618</v>
      </c>
      <c r="L221" s="2">
        <v>117.02825</v>
      </c>
      <c r="P221" s="2">
        <v>698</v>
      </c>
      <c r="Q221" s="7">
        <v>455.00898000000001</v>
      </c>
      <c r="Y221" s="2">
        <v>618</v>
      </c>
      <c r="Z221" s="2">
        <v>258829.51793</v>
      </c>
      <c r="AD221" s="2">
        <v>698</v>
      </c>
      <c r="AE221" s="2">
        <v>13069.963040000001</v>
      </c>
      <c r="AG221" s="2">
        <v>698</v>
      </c>
      <c r="AH221" s="2">
        <v>5216.47678</v>
      </c>
    </row>
    <row r="222" spans="2:34" x14ac:dyDescent="0.2">
      <c r="B222" s="2">
        <v>699</v>
      </c>
      <c r="C222" s="2">
        <v>399.68666000000002</v>
      </c>
      <c r="K222" s="2">
        <v>619</v>
      </c>
      <c r="L222" s="2">
        <v>84.407349999999994</v>
      </c>
      <c r="P222" s="2">
        <v>699</v>
      </c>
      <c r="Q222" s="7">
        <v>743.45759999999996</v>
      </c>
      <c r="Y222" s="2">
        <v>619</v>
      </c>
      <c r="Z222" s="2">
        <v>273102.18209999998</v>
      </c>
      <c r="AD222" s="2">
        <v>699</v>
      </c>
      <c r="AE222" s="2">
        <v>12151.86888</v>
      </c>
      <c r="AG222" s="2">
        <v>699</v>
      </c>
      <c r="AH222" s="2">
        <v>5562.8180000000002</v>
      </c>
    </row>
    <row r="223" spans="2:34" x14ac:dyDescent="0.2">
      <c r="B223" s="2">
        <v>700</v>
      </c>
      <c r="C223" s="2">
        <v>385.29838999999998</v>
      </c>
      <c r="K223" s="2">
        <v>620</v>
      </c>
      <c r="L223" s="2">
        <v>107.56258</v>
      </c>
      <c r="P223" s="2">
        <v>700</v>
      </c>
      <c r="Q223" s="7">
        <v>538.04166999999995</v>
      </c>
      <c r="Y223" s="2">
        <v>620</v>
      </c>
      <c r="Z223" s="2">
        <v>283685.0576</v>
      </c>
      <c r="AD223" s="2">
        <v>700</v>
      </c>
      <c r="AE223" s="2">
        <v>11889.32856</v>
      </c>
      <c r="AG223" s="2">
        <v>700</v>
      </c>
      <c r="AH223" s="2">
        <v>5282.8004099999998</v>
      </c>
    </row>
    <row r="224" spans="2:34" x14ac:dyDescent="0.2">
      <c r="B224" s="2">
        <v>701</v>
      </c>
      <c r="C224" s="2">
        <v>479.37302</v>
      </c>
      <c r="K224" s="2">
        <v>621</v>
      </c>
      <c r="L224" s="2">
        <v>412.94277</v>
      </c>
      <c r="P224" s="2">
        <v>701</v>
      </c>
      <c r="Q224" s="7">
        <v>521.54913999999997</v>
      </c>
      <c r="Y224" s="2">
        <v>621</v>
      </c>
      <c r="Z224" s="2">
        <v>291382.12471</v>
      </c>
      <c r="AD224" s="2">
        <v>701</v>
      </c>
      <c r="AE224" s="2">
        <v>11511.346219999999</v>
      </c>
      <c r="AG224" s="2">
        <v>701</v>
      </c>
      <c r="AH224" s="2">
        <v>4816.6443300000001</v>
      </c>
    </row>
    <row r="225" spans="2:34" x14ac:dyDescent="0.2">
      <c r="B225" s="2">
        <v>702</v>
      </c>
      <c r="C225" s="2">
        <v>495.97113999999999</v>
      </c>
      <c r="K225" s="2">
        <v>622</v>
      </c>
      <c r="L225" s="2">
        <v>202.51411999999999</v>
      </c>
      <c r="P225" s="2">
        <v>702</v>
      </c>
      <c r="Q225" s="7">
        <v>527.99904000000004</v>
      </c>
      <c r="Y225" s="2">
        <v>622</v>
      </c>
      <c r="Z225" s="2">
        <v>303921.02218000003</v>
      </c>
      <c r="AD225" s="2">
        <v>702</v>
      </c>
      <c r="AE225" s="2">
        <v>11214.093629999999</v>
      </c>
      <c r="AG225" s="2">
        <v>702</v>
      </c>
      <c r="AH225" s="2">
        <v>4704.4514099999997</v>
      </c>
    </row>
    <row r="226" spans="2:34" x14ac:dyDescent="0.2">
      <c r="B226" s="2">
        <v>703</v>
      </c>
      <c r="C226" s="2">
        <v>442.22086999999999</v>
      </c>
      <c r="K226" s="2">
        <v>623</v>
      </c>
      <c r="L226" s="2">
        <v>89.857919999999993</v>
      </c>
      <c r="P226" s="2">
        <v>703</v>
      </c>
      <c r="Q226" s="7">
        <v>589.57916999999998</v>
      </c>
      <c r="Y226" s="2">
        <v>623</v>
      </c>
      <c r="Z226" s="2">
        <v>316462.17106000002</v>
      </c>
      <c r="AD226" s="2">
        <v>703</v>
      </c>
      <c r="AE226" s="2">
        <v>10802.93269</v>
      </c>
      <c r="AG226" s="2">
        <v>703</v>
      </c>
      <c r="AH226" s="2">
        <v>4587.7947100000001</v>
      </c>
    </row>
    <row r="227" spans="2:34" x14ac:dyDescent="0.2">
      <c r="B227" s="2">
        <v>704</v>
      </c>
      <c r="C227" s="2">
        <v>411.77726000000001</v>
      </c>
      <c r="K227" s="2">
        <v>624</v>
      </c>
      <c r="L227" s="2">
        <v>483.17198000000002</v>
      </c>
      <c r="P227" s="2">
        <v>704</v>
      </c>
      <c r="Q227" s="7">
        <v>673.35826999999995</v>
      </c>
      <c r="Y227" s="2">
        <v>624</v>
      </c>
      <c r="Z227" s="2">
        <v>331042.79414999997</v>
      </c>
      <c r="AD227" s="2">
        <v>704</v>
      </c>
      <c r="AE227" s="2">
        <v>10721.22544</v>
      </c>
      <c r="AG227" s="2">
        <v>704</v>
      </c>
      <c r="AH227" s="2">
        <v>4704.1454000000003</v>
      </c>
    </row>
    <row r="228" spans="2:34" x14ac:dyDescent="0.2">
      <c r="B228" s="2">
        <v>705</v>
      </c>
      <c r="C228" s="2">
        <v>395.68338999999997</v>
      </c>
      <c r="K228" s="2">
        <v>625</v>
      </c>
      <c r="L228" s="2">
        <v>201.20586</v>
      </c>
      <c r="P228" s="2">
        <v>705</v>
      </c>
      <c r="Q228" s="7">
        <v>702.19557999999995</v>
      </c>
      <c r="Y228" s="2">
        <v>625</v>
      </c>
      <c r="Z228" s="2">
        <v>346709.15438999998</v>
      </c>
      <c r="AD228" s="2">
        <v>705</v>
      </c>
      <c r="AE228" s="2">
        <v>10127.028829999999</v>
      </c>
      <c r="AG228" s="2">
        <v>705</v>
      </c>
      <c r="AH228" s="2">
        <v>4637.4946900000004</v>
      </c>
    </row>
    <row r="229" spans="2:34" x14ac:dyDescent="0.2">
      <c r="B229" s="2">
        <v>706</v>
      </c>
      <c r="C229" s="2">
        <v>564.40899999999999</v>
      </c>
      <c r="K229" s="2">
        <v>626</v>
      </c>
      <c r="L229" s="2">
        <v>508.85075000000001</v>
      </c>
      <c r="P229" s="2">
        <v>706</v>
      </c>
      <c r="Q229" s="7">
        <v>624.08306000000005</v>
      </c>
      <c r="Y229" s="2">
        <v>626</v>
      </c>
      <c r="Z229" s="2">
        <v>364802.55249999999</v>
      </c>
      <c r="AD229" s="2">
        <v>706</v>
      </c>
      <c r="AE229" s="2">
        <v>9953.8408199999994</v>
      </c>
      <c r="AG229" s="2">
        <v>706</v>
      </c>
      <c r="AH229" s="2">
        <v>4461.3814499999999</v>
      </c>
    </row>
    <row r="230" spans="2:34" x14ac:dyDescent="0.2">
      <c r="B230" s="2">
        <v>707</v>
      </c>
      <c r="C230" s="2">
        <v>646.92109000000005</v>
      </c>
      <c r="K230" s="2">
        <v>627</v>
      </c>
      <c r="L230" s="2">
        <v>-52.953519999999997</v>
      </c>
      <c r="P230" s="2">
        <v>707</v>
      </c>
      <c r="Q230" s="7">
        <v>569.51597000000004</v>
      </c>
      <c r="Y230" s="2">
        <v>627</v>
      </c>
      <c r="Z230" s="2">
        <v>382376.60008</v>
      </c>
      <c r="AD230" s="2">
        <v>707</v>
      </c>
      <c r="AE230" s="2">
        <v>9624.0259800000003</v>
      </c>
      <c r="AG230" s="2">
        <v>707</v>
      </c>
      <c r="AH230" s="2">
        <v>4153.4439899999998</v>
      </c>
    </row>
    <row r="231" spans="2:34" x14ac:dyDescent="0.2">
      <c r="B231" s="2">
        <v>708</v>
      </c>
      <c r="C231" s="2">
        <v>370.31659999999999</v>
      </c>
      <c r="K231" s="2">
        <v>628</v>
      </c>
      <c r="L231" s="2">
        <v>132.94460000000001</v>
      </c>
      <c r="P231" s="2">
        <v>708</v>
      </c>
      <c r="Q231" s="7">
        <v>524.96821999999997</v>
      </c>
      <c r="Y231" s="2">
        <v>628</v>
      </c>
      <c r="Z231" s="2">
        <v>398633.84318999999</v>
      </c>
      <c r="AD231" s="2">
        <v>708</v>
      </c>
      <c r="AE231" s="2">
        <v>9512.1713299999992</v>
      </c>
      <c r="AG231" s="2">
        <v>708</v>
      </c>
      <c r="AH231" s="2">
        <v>4263.7300500000001</v>
      </c>
    </row>
    <row r="232" spans="2:34" x14ac:dyDescent="0.2">
      <c r="B232" s="2">
        <v>709</v>
      </c>
      <c r="C232" s="2">
        <v>391.99781999999999</v>
      </c>
      <c r="K232" s="2">
        <v>629</v>
      </c>
      <c r="L232" s="2">
        <v>359.22519</v>
      </c>
      <c r="P232" s="2">
        <v>709</v>
      </c>
      <c r="Q232" s="7">
        <v>823.18398000000002</v>
      </c>
      <c r="Y232" s="2">
        <v>629</v>
      </c>
      <c r="Z232" s="2">
        <v>424734.40591999999</v>
      </c>
      <c r="AD232" s="2">
        <v>709</v>
      </c>
      <c r="AE232" s="2">
        <v>9530.4363599999997</v>
      </c>
      <c r="AG232" s="2">
        <v>709</v>
      </c>
      <c r="AH232" s="2">
        <v>4126.8343199999999</v>
      </c>
    </row>
    <row r="233" spans="2:34" x14ac:dyDescent="0.2">
      <c r="B233" s="2">
        <v>710</v>
      </c>
      <c r="C233" s="2">
        <v>625.40702999999996</v>
      </c>
      <c r="K233" s="2">
        <v>630</v>
      </c>
      <c r="L233" s="2">
        <v>-117.73854</v>
      </c>
      <c r="P233" s="2">
        <v>710</v>
      </c>
      <c r="Q233" s="7">
        <v>446.82691</v>
      </c>
      <c r="Y233" s="2">
        <v>630</v>
      </c>
      <c r="Z233" s="2">
        <v>443602.04408999998</v>
      </c>
      <c r="AD233" s="2">
        <v>710</v>
      </c>
      <c r="AE233" s="2">
        <v>9073.7766499999998</v>
      </c>
      <c r="AG233" s="2">
        <v>710</v>
      </c>
      <c r="AH233" s="2">
        <v>4035.5887200000002</v>
      </c>
    </row>
    <row r="234" spans="2:34" x14ac:dyDescent="0.2">
      <c r="B234" s="2">
        <v>711</v>
      </c>
      <c r="C234" s="2">
        <v>567.48829999999998</v>
      </c>
      <c r="K234" s="2">
        <v>631</v>
      </c>
      <c r="L234" s="2">
        <v>227.32637</v>
      </c>
      <c r="P234" s="2">
        <v>711</v>
      </c>
      <c r="Q234" s="7">
        <v>537.23575000000005</v>
      </c>
      <c r="Y234" s="2">
        <v>631</v>
      </c>
      <c r="Z234" s="2">
        <v>469043.69574</v>
      </c>
      <c r="AD234" s="2">
        <v>711</v>
      </c>
      <c r="AE234" s="2">
        <v>9431.5575399999998</v>
      </c>
      <c r="AG234" s="2">
        <v>711</v>
      </c>
      <c r="AH234" s="2">
        <v>4037.0084900000002</v>
      </c>
    </row>
    <row r="235" spans="2:34" x14ac:dyDescent="0.2">
      <c r="B235" s="2">
        <v>712</v>
      </c>
      <c r="C235" s="2">
        <v>616.19399999999996</v>
      </c>
      <c r="K235" s="2">
        <v>632</v>
      </c>
      <c r="L235" s="2">
        <v>494.22246000000001</v>
      </c>
      <c r="P235" s="2">
        <v>712</v>
      </c>
      <c r="Q235" s="7">
        <v>550.99760000000003</v>
      </c>
      <c r="Y235" s="2">
        <v>632</v>
      </c>
      <c r="Z235" s="2">
        <v>490368.73443000001</v>
      </c>
      <c r="AD235" s="2">
        <v>712</v>
      </c>
      <c r="AE235" s="2">
        <v>9602.6002499999995</v>
      </c>
      <c r="AG235" s="2">
        <v>712</v>
      </c>
      <c r="AH235" s="2">
        <v>4018.99523</v>
      </c>
    </row>
    <row r="236" spans="2:34" x14ac:dyDescent="0.2">
      <c r="B236" s="2">
        <v>713</v>
      </c>
      <c r="C236" s="2">
        <v>525.33160999999996</v>
      </c>
      <c r="K236" s="2">
        <v>633</v>
      </c>
      <c r="L236" s="2">
        <v>344.63013000000001</v>
      </c>
      <c r="P236" s="2">
        <v>713</v>
      </c>
      <c r="Q236" s="7">
        <v>592.95719999999994</v>
      </c>
      <c r="Y236" s="2">
        <v>633</v>
      </c>
      <c r="Z236" s="2">
        <v>509896.19014999998</v>
      </c>
      <c r="AD236" s="2">
        <v>713</v>
      </c>
      <c r="AE236" s="2">
        <v>9205.2700600000007</v>
      </c>
      <c r="AG236" s="2">
        <v>713</v>
      </c>
      <c r="AH236" s="2">
        <v>4333.6442200000001</v>
      </c>
    </row>
    <row r="237" spans="2:34" x14ac:dyDescent="0.2">
      <c r="B237" s="2">
        <v>714</v>
      </c>
      <c r="C237" s="2">
        <v>609.45902999999998</v>
      </c>
      <c r="K237" s="2">
        <v>634</v>
      </c>
      <c r="L237" s="2">
        <v>256.41714999999999</v>
      </c>
      <c r="P237" s="2">
        <v>714</v>
      </c>
      <c r="Q237" s="7">
        <v>409.78795000000002</v>
      </c>
      <c r="Y237" s="2">
        <v>634</v>
      </c>
      <c r="Z237" s="2">
        <v>539374.52280999999</v>
      </c>
      <c r="AD237" s="2">
        <v>714</v>
      </c>
      <c r="AE237" s="2">
        <v>8975.4641100000008</v>
      </c>
      <c r="AG237" s="2">
        <v>714</v>
      </c>
      <c r="AH237" s="2">
        <v>3964.7547100000002</v>
      </c>
    </row>
    <row r="238" spans="2:34" x14ac:dyDescent="0.2">
      <c r="B238" s="2">
        <v>715</v>
      </c>
      <c r="C238" s="2">
        <v>409.66516000000001</v>
      </c>
      <c r="K238" s="2">
        <v>635</v>
      </c>
      <c r="L238" s="2">
        <v>386.57593000000003</v>
      </c>
      <c r="P238" s="2">
        <v>715</v>
      </c>
      <c r="Q238" s="7">
        <v>557.02282000000002</v>
      </c>
      <c r="Y238" s="2">
        <v>635</v>
      </c>
      <c r="Z238" s="2">
        <v>554044.57328000001</v>
      </c>
      <c r="AD238" s="2">
        <v>715</v>
      </c>
      <c r="AE238" s="2">
        <v>8794.5886599999994</v>
      </c>
      <c r="AG238" s="2">
        <v>715</v>
      </c>
      <c r="AH238" s="2">
        <v>4128.0707300000004</v>
      </c>
    </row>
    <row r="239" spans="2:34" x14ac:dyDescent="0.2">
      <c r="B239" s="2">
        <v>716</v>
      </c>
      <c r="C239" s="2">
        <v>264.50662</v>
      </c>
      <c r="K239" s="2">
        <v>636</v>
      </c>
      <c r="L239" s="2">
        <v>208.05626000000001</v>
      </c>
      <c r="P239" s="2">
        <v>716</v>
      </c>
      <c r="Q239" s="7">
        <v>619.86006999999995</v>
      </c>
      <c r="Y239" s="2">
        <v>636</v>
      </c>
      <c r="Z239" s="2">
        <v>572435.75421000004</v>
      </c>
      <c r="AD239" s="2">
        <v>716</v>
      </c>
      <c r="AE239" s="2">
        <v>8806.6068300000006</v>
      </c>
      <c r="AG239" s="2">
        <v>716</v>
      </c>
      <c r="AH239" s="2">
        <v>3873.8920499999999</v>
      </c>
    </row>
    <row r="240" spans="2:34" x14ac:dyDescent="0.2">
      <c r="B240" s="2">
        <v>717</v>
      </c>
      <c r="C240" s="2">
        <v>600.18430999999998</v>
      </c>
      <c r="K240" s="2">
        <v>637</v>
      </c>
      <c r="L240" s="2">
        <v>539.33587999999997</v>
      </c>
      <c r="P240" s="2">
        <v>717</v>
      </c>
      <c r="Q240" s="7">
        <v>588.08915999999999</v>
      </c>
      <c r="Y240" s="2">
        <v>637</v>
      </c>
      <c r="Z240" s="2">
        <v>590944.69979999994</v>
      </c>
      <c r="AD240" s="2">
        <v>717</v>
      </c>
      <c r="AE240" s="2">
        <v>8876.5280199999997</v>
      </c>
      <c r="AG240" s="2">
        <v>717</v>
      </c>
      <c r="AH240" s="2">
        <v>3774.0844499999998</v>
      </c>
    </row>
    <row r="241" spans="2:34" x14ac:dyDescent="0.2">
      <c r="B241" s="2">
        <v>718</v>
      </c>
      <c r="C241" s="2">
        <v>360.05614000000003</v>
      </c>
      <c r="K241" s="2">
        <v>638</v>
      </c>
      <c r="L241" s="2">
        <v>428.48619000000002</v>
      </c>
      <c r="P241" s="2">
        <v>718</v>
      </c>
      <c r="Q241" s="7">
        <v>516.66876999999999</v>
      </c>
      <c r="Y241" s="2">
        <v>638</v>
      </c>
      <c r="Z241" s="2">
        <v>614009.47279999999</v>
      </c>
      <c r="AD241" s="2">
        <v>718</v>
      </c>
      <c r="AE241" s="2">
        <v>8502.6538899999996</v>
      </c>
      <c r="AG241" s="2">
        <v>718</v>
      </c>
      <c r="AH241" s="2">
        <v>3891.90771</v>
      </c>
    </row>
    <row r="242" spans="2:34" x14ac:dyDescent="0.2">
      <c r="B242" s="2">
        <v>719</v>
      </c>
      <c r="C242" s="2">
        <v>619.42317000000003</v>
      </c>
      <c r="K242" s="2">
        <v>639</v>
      </c>
      <c r="L242" s="2">
        <v>342.81698999999998</v>
      </c>
      <c r="P242" s="2">
        <v>719</v>
      </c>
      <c r="Q242" s="7">
        <v>600.53485000000001</v>
      </c>
      <c r="Y242" s="2">
        <v>639</v>
      </c>
      <c r="Z242" s="2">
        <v>631150.3406</v>
      </c>
      <c r="AD242" s="2">
        <v>719</v>
      </c>
      <c r="AE242" s="2">
        <v>8805.0713599999999</v>
      </c>
      <c r="AG242" s="2">
        <v>719</v>
      </c>
      <c r="AH242" s="2">
        <v>4066.94065</v>
      </c>
    </row>
    <row r="243" spans="2:34" x14ac:dyDescent="0.2">
      <c r="B243" s="2">
        <v>720</v>
      </c>
      <c r="C243" s="2">
        <v>693.75372000000004</v>
      </c>
      <c r="K243" s="2">
        <v>640</v>
      </c>
      <c r="L243" s="2">
        <v>-4.3468999999999998</v>
      </c>
      <c r="P243" s="2">
        <v>720</v>
      </c>
      <c r="Q243" s="7">
        <v>596.61878999999999</v>
      </c>
      <c r="Y243" s="2">
        <v>640</v>
      </c>
      <c r="Z243" s="2">
        <v>641636.58632</v>
      </c>
      <c r="AD243" s="2">
        <v>720</v>
      </c>
      <c r="AE243" s="2">
        <v>8484.64293</v>
      </c>
      <c r="AG243" s="2">
        <v>720</v>
      </c>
      <c r="AH243" s="2">
        <v>3847.36978</v>
      </c>
    </row>
    <row r="244" spans="2:34" x14ac:dyDescent="0.2">
      <c r="B244" s="2">
        <v>721</v>
      </c>
      <c r="C244" s="2">
        <v>612.86014999999998</v>
      </c>
      <c r="K244" s="2">
        <v>641</v>
      </c>
      <c r="L244" s="2">
        <v>400.02091999999999</v>
      </c>
      <c r="P244" s="2">
        <v>721</v>
      </c>
      <c r="Q244" s="7">
        <v>515.95366000000001</v>
      </c>
      <c r="Y244" s="2">
        <v>641</v>
      </c>
      <c r="Z244" s="2">
        <v>653852.70354999998</v>
      </c>
      <c r="AD244" s="2">
        <v>721</v>
      </c>
      <c r="AE244" s="2">
        <v>7908.0479699999996</v>
      </c>
      <c r="AG244" s="2">
        <v>721</v>
      </c>
      <c r="AH244" s="2">
        <v>3975.94346</v>
      </c>
    </row>
    <row r="245" spans="2:34" x14ac:dyDescent="0.2">
      <c r="B245" s="2">
        <v>722</v>
      </c>
      <c r="C245" s="2">
        <v>264.25232999999997</v>
      </c>
      <c r="K245" s="2">
        <v>642</v>
      </c>
      <c r="L245" s="2">
        <v>339.07517000000001</v>
      </c>
      <c r="P245" s="2">
        <v>722</v>
      </c>
      <c r="Q245" s="7">
        <v>668.60717999999997</v>
      </c>
      <c r="Y245" s="2">
        <v>642</v>
      </c>
      <c r="Z245" s="2">
        <v>666994.05743000004</v>
      </c>
      <c r="AD245" s="2">
        <v>722</v>
      </c>
      <c r="AE245" s="2">
        <v>8211.5968499999999</v>
      </c>
      <c r="AG245" s="2">
        <v>722</v>
      </c>
      <c r="AH245" s="2">
        <v>3652.5632000000001</v>
      </c>
    </row>
    <row r="246" spans="2:34" x14ac:dyDescent="0.2">
      <c r="B246" s="2">
        <v>723</v>
      </c>
      <c r="C246" s="2">
        <v>546.52396999999996</v>
      </c>
      <c r="K246" s="2">
        <v>643</v>
      </c>
      <c r="L246" s="2">
        <v>-131.18440000000001</v>
      </c>
      <c r="P246" s="2">
        <v>723</v>
      </c>
      <c r="Q246" s="7">
        <v>551.90029000000004</v>
      </c>
      <c r="Y246" s="2">
        <v>643</v>
      </c>
      <c r="Z246" s="2">
        <v>677660.13913000003</v>
      </c>
      <c r="AD246" s="2">
        <v>723</v>
      </c>
      <c r="AE246" s="2">
        <v>8340.0385100000003</v>
      </c>
      <c r="AG246" s="2">
        <v>723</v>
      </c>
      <c r="AH246" s="2">
        <v>3498.4576499999998</v>
      </c>
    </row>
    <row r="247" spans="2:34" x14ac:dyDescent="0.2">
      <c r="B247" s="2">
        <v>724</v>
      </c>
      <c r="C247" s="2">
        <v>582.25711999999999</v>
      </c>
      <c r="K247" s="2">
        <v>644</v>
      </c>
      <c r="L247" s="2">
        <v>340.32598000000002</v>
      </c>
      <c r="P247" s="2">
        <v>724</v>
      </c>
      <c r="Q247" s="7">
        <v>439.37774999999999</v>
      </c>
      <c r="Y247" s="2">
        <v>644</v>
      </c>
      <c r="Z247" s="2">
        <v>680649.73175000004</v>
      </c>
      <c r="AD247" s="2">
        <v>724</v>
      </c>
      <c r="AE247" s="2">
        <v>7905.3947500000004</v>
      </c>
      <c r="AG247" s="2">
        <v>724</v>
      </c>
      <c r="AH247" s="2">
        <v>3715.6053999999999</v>
      </c>
    </row>
    <row r="248" spans="2:34" x14ac:dyDescent="0.2">
      <c r="B248" s="2">
        <v>725</v>
      </c>
      <c r="C248" s="2">
        <v>556.02727000000004</v>
      </c>
      <c r="K248" s="2">
        <v>645</v>
      </c>
      <c r="L248" s="2">
        <v>530.41503999999998</v>
      </c>
      <c r="P248" s="2">
        <v>725</v>
      </c>
      <c r="Q248" s="7">
        <v>577.00867000000005</v>
      </c>
      <c r="Y248" s="2">
        <v>645</v>
      </c>
      <c r="Z248" s="2">
        <v>688264.91338000004</v>
      </c>
      <c r="AD248" s="2">
        <v>725</v>
      </c>
      <c r="AE248" s="2">
        <v>8009.9895100000003</v>
      </c>
      <c r="AG248" s="2">
        <v>725</v>
      </c>
      <c r="AH248" s="2">
        <v>3621.3089799999998</v>
      </c>
    </row>
    <row r="249" spans="2:34" x14ac:dyDescent="0.2">
      <c r="B249" s="2">
        <v>726</v>
      </c>
      <c r="C249" s="2">
        <v>635.51431000000002</v>
      </c>
      <c r="K249" s="2">
        <v>646</v>
      </c>
      <c r="L249" s="2">
        <v>503.00213000000002</v>
      </c>
      <c r="P249" s="2">
        <v>726</v>
      </c>
      <c r="Q249" s="7">
        <v>411.76837999999998</v>
      </c>
      <c r="Y249" s="2">
        <v>646</v>
      </c>
      <c r="Z249" s="2">
        <v>680342.26723999996</v>
      </c>
      <c r="AD249" s="2">
        <v>726</v>
      </c>
      <c r="AE249" s="2">
        <v>7789.8962199999996</v>
      </c>
      <c r="AG249" s="2">
        <v>726</v>
      </c>
      <c r="AH249" s="2">
        <v>3191.6916999999999</v>
      </c>
    </row>
    <row r="250" spans="2:34" x14ac:dyDescent="0.2">
      <c r="B250" s="2">
        <v>727</v>
      </c>
      <c r="C250" s="2">
        <v>436.37797999999998</v>
      </c>
      <c r="K250" s="2">
        <v>647</v>
      </c>
      <c r="L250" s="2">
        <v>405.73271</v>
      </c>
      <c r="P250" s="2">
        <v>727</v>
      </c>
      <c r="Q250" s="7">
        <v>489.48950000000002</v>
      </c>
      <c r="Y250" s="2">
        <v>647</v>
      </c>
      <c r="Z250" s="2">
        <v>681426.85161999997</v>
      </c>
      <c r="AD250" s="2">
        <v>727</v>
      </c>
      <c r="AE250" s="2">
        <v>7627.4808599999997</v>
      </c>
      <c r="AG250" s="2">
        <v>727</v>
      </c>
      <c r="AH250" s="2">
        <v>3769.0483100000001</v>
      </c>
    </row>
    <row r="251" spans="2:34" x14ac:dyDescent="0.2">
      <c r="B251" s="2">
        <v>728</v>
      </c>
      <c r="C251" s="2">
        <v>640.06336999999996</v>
      </c>
      <c r="K251" s="2">
        <v>648</v>
      </c>
      <c r="L251" s="2">
        <v>188.42241999999999</v>
      </c>
      <c r="P251" s="2">
        <v>728</v>
      </c>
      <c r="Q251" s="7">
        <v>677.50820999999996</v>
      </c>
      <c r="Y251" s="2">
        <v>648</v>
      </c>
      <c r="Z251" s="2">
        <v>672674.11219999997</v>
      </c>
      <c r="AD251" s="2">
        <v>728</v>
      </c>
      <c r="AE251" s="2">
        <v>8142.5590499999998</v>
      </c>
      <c r="AG251" s="2">
        <v>728</v>
      </c>
      <c r="AH251" s="2">
        <v>3764.07863</v>
      </c>
    </row>
    <row r="252" spans="2:34" x14ac:dyDescent="0.2">
      <c r="B252" s="2">
        <v>729</v>
      </c>
      <c r="C252" s="2">
        <v>650.97905000000003</v>
      </c>
      <c r="K252" s="2">
        <v>649</v>
      </c>
      <c r="L252" s="2">
        <v>465.85673000000003</v>
      </c>
      <c r="P252" s="2">
        <v>729</v>
      </c>
      <c r="Q252" s="7">
        <v>680.88085999999998</v>
      </c>
      <c r="Y252" s="2">
        <v>649</v>
      </c>
      <c r="Z252" s="2">
        <v>658748.59300999995</v>
      </c>
      <c r="AD252" s="2">
        <v>729</v>
      </c>
      <c r="AE252" s="2">
        <v>7534.3924800000004</v>
      </c>
      <c r="AG252" s="2">
        <v>729</v>
      </c>
      <c r="AH252" s="2">
        <v>3148.8542600000001</v>
      </c>
    </row>
    <row r="253" spans="2:34" x14ac:dyDescent="0.2">
      <c r="B253" s="2">
        <v>730</v>
      </c>
      <c r="C253" s="2">
        <v>420.56484999999998</v>
      </c>
      <c r="K253" s="2">
        <v>650</v>
      </c>
      <c r="L253" s="2">
        <v>557.17457999999999</v>
      </c>
      <c r="P253" s="2">
        <v>730</v>
      </c>
      <c r="Q253" s="7">
        <v>594.37472000000002</v>
      </c>
      <c r="Y253" s="2">
        <v>650</v>
      </c>
      <c r="Z253" s="2">
        <v>631133.13801</v>
      </c>
      <c r="AD253" s="2">
        <v>730</v>
      </c>
      <c r="AE253" s="2">
        <v>7646.2750699999997</v>
      </c>
      <c r="AG253" s="2">
        <v>730</v>
      </c>
      <c r="AH253" s="2">
        <v>3338.7075599999998</v>
      </c>
    </row>
    <row r="254" spans="2:34" x14ac:dyDescent="0.2">
      <c r="B254" s="2">
        <v>731</v>
      </c>
      <c r="C254" s="2">
        <v>358.16976</v>
      </c>
      <c r="K254" s="2">
        <v>651</v>
      </c>
      <c r="L254" s="2">
        <v>145.60093000000001</v>
      </c>
      <c r="P254" s="2">
        <v>731</v>
      </c>
      <c r="Q254" s="7">
        <v>634.75654999999995</v>
      </c>
      <c r="Y254" s="2">
        <v>651</v>
      </c>
      <c r="Z254" s="2">
        <v>610376.09978000005</v>
      </c>
      <c r="AD254" s="2">
        <v>731</v>
      </c>
      <c r="AE254" s="2">
        <v>7515.5732600000001</v>
      </c>
      <c r="AG254" s="2">
        <v>731</v>
      </c>
      <c r="AH254" s="2">
        <v>3530.82008</v>
      </c>
    </row>
    <row r="255" spans="2:34" x14ac:dyDescent="0.2">
      <c r="B255" s="2">
        <v>732</v>
      </c>
      <c r="C255" s="2">
        <v>716.42199000000005</v>
      </c>
      <c r="K255" s="2">
        <v>652</v>
      </c>
      <c r="L255" s="2">
        <v>298.57353999999998</v>
      </c>
      <c r="P255" s="2">
        <v>732</v>
      </c>
      <c r="Q255" s="7">
        <v>785.49285999999995</v>
      </c>
      <c r="Y255" s="2">
        <v>652</v>
      </c>
      <c r="Z255" s="2">
        <v>585787.95181</v>
      </c>
      <c r="AD255" s="2">
        <v>732</v>
      </c>
      <c r="AE255" s="2">
        <v>7247.0101599999998</v>
      </c>
      <c r="AG255" s="2">
        <v>732</v>
      </c>
      <c r="AH255" s="2">
        <v>3322.7958899999999</v>
      </c>
    </row>
    <row r="256" spans="2:34" x14ac:dyDescent="0.2">
      <c r="B256" s="2">
        <v>733</v>
      </c>
      <c r="C256" s="2">
        <v>633.08912999999995</v>
      </c>
      <c r="K256" s="2">
        <v>653</v>
      </c>
      <c r="L256" s="2">
        <v>438.33037999999999</v>
      </c>
      <c r="P256" s="2">
        <v>733</v>
      </c>
      <c r="Q256" s="7">
        <v>531.09875999999997</v>
      </c>
      <c r="Y256" s="2">
        <v>653</v>
      </c>
      <c r="Z256" s="2">
        <v>561780.01165999996</v>
      </c>
      <c r="AD256" s="2">
        <v>733</v>
      </c>
      <c r="AE256" s="2">
        <v>7392.1261500000001</v>
      </c>
      <c r="AG256" s="2">
        <v>733</v>
      </c>
      <c r="AH256" s="2">
        <v>3557.35529</v>
      </c>
    </row>
    <row r="257" spans="2:34" x14ac:dyDescent="0.2">
      <c r="B257" s="2">
        <v>734</v>
      </c>
      <c r="C257" s="2">
        <v>585.80526999999995</v>
      </c>
      <c r="K257" s="2">
        <v>654</v>
      </c>
      <c r="L257" s="2">
        <v>563.29098999999997</v>
      </c>
      <c r="P257" s="2">
        <v>734</v>
      </c>
      <c r="Q257" s="7">
        <v>500.20013</v>
      </c>
      <c r="Y257" s="2">
        <v>654</v>
      </c>
      <c r="Z257" s="2">
        <v>532183.33964000002</v>
      </c>
      <c r="AD257" s="2">
        <v>734</v>
      </c>
      <c r="AE257" s="2">
        <v>7041.5404399999998</v>
      </c>
      <c r="AG257" s="2">
        <v>734</v>
      </c>
      <c r="AH257" s="2">
        <v>3366.55584</v>
      </c>
    </row>
    <row r="258" spans="2:34" x14ac:dyDescent="0.2">
      <c r="B258" s="2">
        <v>735</v>
      </c>
      <c r="C258" s="2">
        <v>718.97650999999996</v>
      </c>
      <c r="K258" s="2">
        <v>655</v>
      </c>
      <c r="L258" s="2">
        <v>507.33821</v>
      </c>
      <c r="P258" s="2">
        <v>735</v>
      </c>
      <c r="Q258" s="7">
        <v>443.49338</v>
      </c>
      <c r="Y258" s="2">
        <v>655</v>
      </c>
      <c r="Z258" s="2">
        <v>506599.28045999998</v>
      </c>
      <c r="AD258" s="2">
        <v>735</v>
      </c>
      <c r="AE258" s="2">
        <v>7290.9170299999996</v>
      </c>
      <c r="AG258" s="2">
        <v>735</v>
      </c>
      <c r="AH258" s="2">
        <v>3402.8646800000001</v>
      </c>
    </row>
    <row r="259" spans="2:34" x14ac:dyDescent="0.2">
      <c r="B259" s="2">
        <v>736</v>
      </c>
      <c r="C259" s="2">
        <v>695.96397999999999</v>
      </c>
      <c r="K259" s="2">
        <v>656</v>
      </c>
      <c r="L259" s="2">
        <v>492.35969</v>
      </c>
      <c r="P259" s="2">
        <v>736</v>
      </c>
      <c r="Q259" s="7">
        <v>598.98245999999995</v>
      </c>
      <c r="Y259" s="2">
        <v>656</v>
      </c>
      <c r="Z259" s="2">
        <v>474819.11888000002</v>
      </c>
      <c r="AD259" s="2">
        <v>736</v>
      </c>
      <c r="AE259" s="2">
        <v>6705.98164</v>
      </c>
      <c r="AG259" s="2">
        <v>736</v>
      </c>
      <c r="AH259" s="2">
        <v>3469.9707899999999</v>
      </c>
    </row>
    <row r="260" spans="2:34" x14ac:dyDescent="0.2">
      <c r="B260" s="2">
        <v>737</v>
      </c>
      <c r="C260" s="2">
        <v>571.41790000000003</v>
      </c>
      <c r="K260" s="2">
        <v>657</v>
      </c>
      <c r="L260" s="2">
        <v>505.52352000000002</v>
      </c>
      <c r="P260" s="2">
        <v>737</v>
      </c>
      <c r="Q260" s="7">
        <v>784.62441999999999</v>
      </c>
      <c r="Y260" s="2">
        <v>657</v>
      </c>
      <c r="Z260" s="2">
        <v>440206.46899000002</v>
      </c>
      <c r="AD260" s="2">
        <v>737</v>
      </c>
      <c r="AE260" s="2">
        <v>6531.9473699999999</v>
      </c>
      <c r="AG260" s="2">
        <v>737</v>
      </c>
      <c r="AH260" s="2">
        <v>2903.9822600000002</v>
      </c>
    </row>
    <row r="261" spans="2:34" x14ac:dyDescent="0.2">
      <c r="B261" s="2">
        <v>738</v>
      </c>
      <c r="C261" s="2">
        <v>666.59720000000004</v>
      </c>
      <c r="K261" s="2">
        <v>658</v>
      </c>
      <c r="L261" s="2">
        <v>846.45415000000003</v>
      </c>
      <c r="P261" s="2">
        <v>738</v>
      </c>
      <c r="Q261" s="7">
        <v>686.35901999999999</v>
      </c>
      <c r="Y261" s="2">
        <v>658</v>
      </c>
      <c r="Z261" s="2">
        <v>413342.35125000001</v>
      </c>
      <c r="AD261" s="2">
        <v>738</v>
      </c>
      <c r="AE261" s="2">
        <v>6407.7801900000004</v>
      </c>
      <c r="AG261" s="2">
        <v>738</v>
      </c>
      <c r="AH261" s="2">
        <v>3109.2018699999999</v>
      </c>
    </row>
    <row r="262" spans="2:34" x14ac:dyDescent="0.2">
      <c r="B262" s="2">
        <v>739</v>
      </c>
      <c r="C262" s="2">
        <v>590.28108999999995</v>
      </c>
      <c r="K262" s="2">
        <v>659</v>
      </c>
      <c r="L262" s="2">
        <v>841.40806999999995</v>
      </c>
      <c r="P262" s="2">
        <v>739</v>
      </c>
      <c r="Q262" s="7">
        <v>792.43062999999995</v>
      </c>
      <c r="Y262" s="2">
        <v>659</v>
      </c>
      <c r="Z262" s="2">
        <v>374734.60424000002</v>
      </c>
      <c r="AD262" s="2">
        <v>739</v>
      </c>
      <c r="AE262" s="2">
        <v>6728.4847200000004</v>
      </c>
      <c r="AG262" s="2">
        <v>739</v>
      </c>
      <c r="AH262" s="2">
        <v>3135.4354499999999</v>
      </c>
    </row>
    <row r="263" spans="2:34" x14ac:dyDescent="0.2">
      <c r="B263" s="2">
        <v>740</v>
      </c>
      <c r="C263" s="2">
        <v>785.38376000000005</v>
      </c>
      <c r="K263" s="2">
        <v>660</v>
      </c>
      <c r="L263" s="2">
        <v>957.03606000000002</v>
      </c>
      <c r="P263" s="2">
        <v>740</v>
      </c>
      <c r="Q263" s="7">
        <v>708.27030999999999</v>
      </c>
      <c r="Y263" s="2">
        <v>660</v>
      </c>
      <c r="Z263" s="2">
        <v>346184.76510000002</v>
      </c>
      <c r="AD263" s="2">
        <v>740</v>
      </c>
      <c r="AE263" s="2">
        <v>6182.9042600000002</v>
      </c>
      <c r="AG263" s="2">
        <v>740</v>
      </c>
      <c r="AH263" s="2">
        <v>3242.3646600000002</v>
      </c>
    </row>
    <row r="264" spans="2:34" x14ac:dyDescent="0.2">
      <c r="B264" s="2">
        <v>741</v>
      </c>
      <c r="C264" s="2">
        <v>626.58549000000005</v>
      </c>
      <c r="P264" s="2">
        <v>741</v>
      </c>
      <c r="Q264" s="7">
        <v>788.76630999999998</v>
      </c>
      <c r="AD264" s="2">
        <v>741</v>
      </c>
      <c r="AE264" s="2">
        <v>5533.2463799999996</v>
      </c>
      <c r="AG264" s="2">
        <v>741</v>
      </c>
      <c r="AH264" s="2">
        <v>3060.1395000000002</v>
      </c>
    </row>
    <row r="265" spans="2:34" x14ac:dyDescent="0.2">
      <c r="B265" s="2">
        <v>742</v>
      </c>
      <c r="C265" s="2">
        <v>816.37518</v>
      </c>
      <c r="P265" s="2">
        <v>742</v>
      </c>
      <c r="Q265" s="7">
        <v>708.27139</v>
      </c>
      <c r="AD265" s="2">
        <v>742</v>
      </c>
      <c r="AE265" s="2">
        <v>5760.3605699999998</v>
      </c>
      <c r="AG265" s="2">
        <v>742</v>
      </c>
      <c r="AH265" s="2">
        <v>2773.6045300000001</v>
      </c>
    </row>
    <row r="266" spans="2:34" x14ac:dyDescent="0.2">
      <c r="B266" s="2">
        <v>743</v>
      </c>
      <c r="C266" s="2">
        <v>744.00072</v>
      </c>
      <c r="P266" s="2">
        <v>743</v>
      </c>
      <c r="Q266" s="7">
        <v>700.53061000000002</v>
      </c>
      <c r="AD266" s="2">
        <v>743</v>
      </c>
      <c r="AE266" s="2">
        <v>6249.8126199999997</v>
      </c>
      <c r="AG266" s="2">
        <v>743</v>
      </c>
      <c r="AH266" s="2">
        <v>2745.13312</v>
      </c>
    </row>
    <row r="267" spans="2:34" x14ac:dyDescent="0.2">
      <c r="B267" s="2">
        <v>744</v>
      </c>
      <c r="C267" s="2">
        <v>585.68294000000003</v>
      </c>
      <c r="P267" s="2">
        <v>744</v>
      </c>
      <c r="Q267" s="7">
        <v>821.40503999999999</v>
      </c>
      <c r="AD267" s="2">
        <v>744</v>
      </c>
      <c r="AE267" s="2">
        <v>5399.7649099999999</v>
      </c>
      <c r="AG267" s="2">
        <v>744</v>
      </c>
      <c r="AH267" s="2">
        <v>2293.5958500000002</v>
      </c>
    </row>
    <row r="268" spans="2:34" x14ac:dyDescent="0.2">
      <c r="B268" s="2">
        <v>745</v>
      </c>
      <c r="C268" s="2">
        <v>1000.25252</v>
      </c>
      <c r="P268" s="2">
        <v>745</v>
      </c>
      <c r="Q268" s="7">
        <v>615.48012000000006</v>
      </c>
      <c r="AD268" s="2">
        <v>745</v>
      </c>
      <c r="AE268" s="2">
        <v>5521.7650599999997</v>
      </c>
      <c r="AG268" s="2">
        <v>745</v>
      </c>
      <c r="AH268" s="2">
        <v>2222.13132</v>
      </c>
    </row>
    <row r="269" spans="2:34" x14ac:dyDescent="0.2">
      <c r="B269" s="2">
        <v>746</v>
      </c>
      <c r="C269" s="2">
        <v>640.48275000000001</v>
      </c>
      <c r="P269" s="2">
        <v>746</v>
      </c>
      <c r="Q269" s="7">
        <v>624.14562000000001</v>
      </c>
      <c r="AD269" s="2">
        <v>746</v>
      </c>
      <c r="AE269" s="2">
        <v>4742.1725299999998</v>
      </c>
      <c r="AG269" s="2">
        <v>746</v>
      </c>
      <c r="AH269" s="2">
        <v>2704.9857699999998</v>
      </c>
    </row>
    <row r="270" spans="2:34" x14ac:dyDescent="0.2">
      <c r="B270" s="2">
        <v>747</v>
      </c>
      <c r="C270" s="2">
        <v>483.63560999999999</v>
      </c>
      <c r="P270" s="2">
        <v>747</v>
      </c>
      <c r="Q270" s="7">
        <v>834.73388999999997</v>
      </c>
      <c r="AD270" s="2">
        <v>747</v>
      </c>
      <c r="AE270" s="2">
        <v>4672.9621699999998</v>
      </c>
      <c r="AG270" s="2">
        <v>747</v>
      </c>
      <c r="AH270" s="2">
        <v>2477.1628799999999</v>
      </c>
    </row>
    <row r="271" spans="2:34" x14ac:dyDescent="0.2">
      <c r="B271" s="2">
        <v>748</v>
      </c>
      <c r="C271" s="2">
        <v>668.2115</v>
      </c>
      <c r="P271" s="2">
        <v>748</v>
      </c>
      <c r="Q271" s="7">
        <v>582.24784</v>
      </c>
      <c r="AD271" s="2">
        <v>748</v>
      </c>
      <c r="AE271" s="2">
        <v>4572.9292100000002</v>
      </c>
      <c r="AG271" s="2">
        <v>748</v>
      </c>
      <c r="AH271" s="2">
        <v>2189.9411399999999</v>
      </c>
    </row>
    <row r="272" spans="2:34" x14ac:dyDescent="0.2">
      <c r="B272" s="2">
        <v>749</v>
      </c>
      <c r="C272" s="2">
        <v>687.68462999999997</v>
      </c>
      <c r="P272" s="2">
        <v>749</v>
      </c>
      <c r="Q272" s="7">
        <v>600.20051999999998</v>
      </c>
      <c r="AD272" s="2">
        <v>749</v>
      </c>
      <c r="AE272" s="2">
        <v>4532.88195</v>
      </c>
      <c r="AG272" s="2">
        <v>749</v>
      </c>
      <c r="AH272" s="2">
        <v>2590.2417700000001</v>
      </c>
    </row>
    <row r="273" spans="2:34" x14ac:dyDescent="0.2">
      <c r="B273" s="2">
        <v>750</v>
      </c>
      <c r="C273" s="2">
        <v>737.03953999999999</v>
      </c>
      <c r="P273" s="2">
        <v>750</v>
      </c>
      <c r="Q273" s="7">
        <v>498.52067</v>
      </c>
      <c r="AD273" s="2">
        <v>750</v>
      </c>
      <c r="AE273" s="2">
        <v>4593.9455399999997</v>
      </c>
      <c r="AG273" s="2">
        <v>750</v>
      </c>
      <c r="AH273" s="2">
        <v>2961.1059</v>
      </c>
    </row>
    <row r="274" spans="2:34" x14ac:dyDescent="0.2">
      <c r="B274" s="2">
        <v>751</v>
      </c>
      <c r="C274" s="2">
        <v>540.56827999999996</v>
      </c>
      <c r="P274" s="2">
        <v>751</v>
      </c>
      <c r="Q274" s="7">
        <v>779.53120000000001</v>
      </c>
      <c r="AD274" s="2">
        <v>751</v>
      </c>
      <c r="AE274" s="2">
        <v>4552.6042699999998</v>
      </c>
      <c r="AG274" s="2">
        <v>751</v>
      </c>
      <c r="AH274" s="2">
        <v>2378.50821</v>
      </c>
    </row>
    <row r="275" spans="2:34" x14ac:dyDescent="0.2">
      <c r="B275" s="2">
        <v>752</v>
      </c>
      <c r="C275" s="2">
        <v>630.94395999999995</v>
      </c>
      <c r="P275" s="2">
        <v>752</v>
      </c>
      <c r="Q275" s="7">
        <v>450.63263999999998</v>
      </c>
      <c r="AD275" s="2">
        <v>752</v>
      </c>
      <c r="AE275" s="2">
        <v>4014.6637000000001</v>
      </c>
      <c r="AG275" s="2">
        <v>752</v>
      </c>
      <c r="AH275" s="2">
        <v>2358.21009</v>
      </c>
    </row>
    <row r="276" spans="2:34" x14ac:dyDescent="0.2">
      <c r="B276" s="2">
        <v>753</v>
      </c>
      <c r="C276" s="2">
        <v>554.57105000000001</v>
      </c>
      <c r="P276" s="2">
        <v>753</v>
      </c>
      <c r="Q276" s="7">
        <v>819.97924</v>
      </c>
      <c r="AD276" s="2">
        <v>753</v>
      </c>
      <c r="AE276" s="2">
        <v>3867.9138200000002</v>
      </c>
      <c r="AG276" s="2">
        <v>753</v>
      </c>
      <c r="AH276" s="2">
        <v>2735.4345499999999</v>
      </c>
    </row>
    <row r="277" spans="2:34" x14ac:dyDescent="0.2">
      <c r="B277" s="2">
        <v>754</v>
      </c>
      <c r="C277" s="2">
        <v>902.78988000000004</v>
      </c>
      <c r="P277" s="2">
        <v>754</v>
      </c>
      <c r="Q277" s="7">
        <v>661.23842999999999</v>
      </c>
      <c r="AD277" s="2">
        <v>754</v>
      </c>
      <c r="AE277" s="2">
        <v>3814.8632299999999</v>
      </c>
      <c r="AG277" s="2">
        <v>754</v>
      </c>
      <c r="AH277" s="2">
        <v>1936.8822700000001</v>
      </c>
    </row>
    <row r="278" spans="2:34" x14ac:dyDescent="0.2">
      <c r="B278" s="2">
        <v>755</v>
      </c>
      <c r="C278" s="2">
        <v>913.43286999999998</v>
      </c>
      <c r="P278" s="2">
        <v>755</v>
      </c>
      <c r="Q278" s="7">
        <v>766.3587</v>
      </c>
      <c r="AD278" s="2">
        <v>755</v>
      </c>
      <c r="AE278" s="2">
        <v>3946.8092900000001</v>
      </c>
      <c r="AG278" s="2">
        <v>755</v>
      </c>
      <c r="AH278" s="2">
        <v>2234.3028199999999</v>
      </c>
    </row>
    <row r="279" spans="2:34" x14ac:dyDescent="0.2">
      <c r="B279" s="2">
        <v>756</v>
      </c>
      <c r="C279" s="2">
        <v>937.82614999999998</v>
      </c>
      <c r="P279" s="2">
        <v>756</v>
      </c>
      <c r="Q279" s="7">
        <v>775.36496</v>
      </c>
      <c r="AD279" s="2">
        <v>756</v>
      </c>
      <c r="AE279" s="2">
        <v>3833.5054500000001</v>
      </c>
      <c r="AG279" s="2">
        <v>756</v>
      </c>
      <c r="AH279" s="2">
        <v>1837.93947</v>
      </c>
    </row>
    <row r="280" spans="2:34" x14ac:dyDescent="0.2">
      <c r="B280" s="2">
        <v>757</v>
      </c>
      <c r="C280" s="2">
        <v>1007.05961</v>
      </c>
      <c r="P280" s="2">
        <v>757</v>
      </c>
      <c r="Q280" s="7">
        <v>806.74481000000003</v>
      </c>
      <c r="AD280" s="2">
        <v>757</v>
      </c>
      <c r="AE280" s="2">
        <v>3650.4150300000001</v>
      </c>
      <c r="AG280" s="2">
        <v>757</v>
      </c>
      <c r="AH280" s="2">
        <v>1991.91731</v>
      </c>
    </row>
    <row r="281" spans="2:34" x14ac:dyDescent="0.2">
      <c r="B281" s="2">
        <v>758</v>
      </c>
      <c r="C281" s="2">
        <v>704.45024000000001</v>
      </c>
      <c r="P281" s="2">
        <v>758</v>
      </c>
      <c r="Q281" s="7">
        <v>1061.1927599999999</v>
      </c>
      <c r="AD281" s="2">
        <v>758</v>
      </c>
      <c r="AE281" s="2">
        <v>3835.8965699999999</v>
      </c>
      <c r="AG281" s="2">
        <v>758</v>
      </c>
      <c r="AH281" s="2">
        <v>2357.4928399999999</v>
      </c>
    </row>
    <row r="282" spans="2:34" x14ac:dyDescent="0.2">
      <c r="B282" s="2">
        <v>759</v>
      </c>
      <c r="C282" s="2">
        <v>883.84532000000002</v>
      </c>
      <c r="P282" s="2">
        <v>759</v>
      </c>
      <c r="Q282" s="7">
        <v>1143.85978</v>
      </c>
      <c r="AD282" s="2">
        <v>759</v>
      </c>
      <c r="AE282" s="2">
        <v>3441.4782799999998</v>
      </c>
      <c r="AG282" s="2">
        <v>759</v>
      </c>
      <c r="AH282" s="2">
        <v>1701.21505</v>
      </c>
    </row>
    <row r="283" spans="2:34" x14ac:dyDescent="0.2">
      <c r="B283" s="2">
        <v>760</v>
      </c>
      <c r="C283" s="2">
        <v>791.26395000000002</v>
      </c>
      <c r="P283" s="2">
        <v>760</v>
      </c>
      <c r="Q283" s="7">
        <v>634.57813999999996</v>
      </c>
      <c r="AD283" s="2">
        <v>760</v>
      </c>
      <c r="AE283" s="2">
        <v>3248.72453</v>
      </c>
      <c r="AG283" s="2">
        <v>760</v>
      </c>
      <c r="AH283" s="2">
        <v>2092.80359</v>
      </c>
    </row>
    <row r="284" spans="2:34" x14ac:dyDescent="0.2">
      <c r="B284" s="2">
        <v>761</v>
      </c>
      <c r="C284" s="2">
        <v>1331.52162</v>
      </c>
      <c r="P284" s="2">
        <v>761</v>
      </c>
      <c r="Q284" s="7">
        <v>724.90224999999998</v>
      </c>
      <c r="AD284" s="2">
        <v>761</v>
      </c>
      <c r="AE284" s="2">
        <v>2696.0384899999999</v>
      </c>
      <c r="AG284" s="2">
        <v>761</v>
      </c>
      <c r="AH284" s="2">
        <v>1497.68723</v>
      </c>
    </row>
    <row r="285" spans="2:34" x14ac:dyDescent="0.2">
      <c r="B285" s="2">
        <v>762</v>
      </c>
      <c r="C285" s="2">
        <v>1269.81522</v>
      </c>
      <c r="P285" s="2">
        <v>762</v>
      </c>
      <c r="Q285" s="7">
        <v>899.23856999999998</v>
      </c>
      <c r="AD285" s="2">
        <v>762</v>
      </c>
      <c r="AE285" s="2">
        <v>3207.2371400000002</v>
      </c>
      <c r="AG285" s="2">
        <v>762</v>
      </c>
      <c r="AH285" s="2">
        <v>1836.04674</v>
      </c>
    </row>
    <row r="286" spans="2:34" x14ac:dyDescent="0.2">
      <c r="B286" s="2">
        <v>763</v>
      </c>
      <c r="C286" s="2">
        <v>900.0874</v>
      </c>
      <c r="P286" s="2">
        <v>763</v>
      </c>
      <c r="Q286" s="7">
        <v>711.24575000000004</v>
      </c>
      <c r="AD286" s="2">
        <v>763</v>
      </c>
      <c r="AE286" s="2">
        <v>3065.2874200000001</v>
      </c>
      <c r="AG286" s="2">
        <v>763</v>
      </c>
      <c r="AH286" s="2">
        <v>1992.5384799999999</v>
      </c>
    </row>
    <row r="287" spans="2:34" x14ac:dyDescent="0.2">
      <c r="B287" s="2">
        <v>764</v>
      </c>
      <c r="C287" s="2">
        <v>730.10949000000005</v>
      </c>
      <c r="P287" s="2">
        <v>764</v>
      </c>
      <c r="Q287" s="7">
        <v>721.72412999999995</v>
      </c>
      <c r="AD287" s="2">
        <v>764</v>
      </c>
      <c r="AE287" s="2">
        <v>3519.2867000000001</v>
      </c>
      <c r="AG287" s="2">
        <v>764</v>
      </c>
      <c r="AH287" s="2">
        <v>1529.47576</v>
      </c>
    </row>
    <row r="288" spans="2:34" x14ac:dyDescent="0.2">
      <c r="B288" s="2">
        <v>765</v>
      </c>
      <c r="C288" s="2">
        <v>1049.8689199999999</v>
      </c>
      <c r="P288" s="2">
        <v>765</v>
      </c>
      <c r="Q288" s="7">
        <v>964.42133000000001</v>
      </c>
      <c r="AD288" s="2">
        <v>765</v>
      </c>
      <c r="AE288" s="2">
        <v>3111.9317700000001</v>
      </c>
      <c r="AG288" s="2">
        <v>765</v>
      </c>
      <c r="AH288" s="2">
        <v>1780.39696</v>
      </c>
    </row>
    <row r="289" spans="2:34" x14ac:dyDescent="0.2">
      <c r="B289" s="2">
        <v>766</v>
      </c>
      <c r="C289" s="2">
        <v>963.40372000000002</v>
      </c>
      <c r="P289" s="2">
        <v>766</v>
      </c>
      <c r="Q289" s="7">
        <v>928.17501000000004</v>
      </c>
      <c r="AD289" s="2">
        <v>766</v>
      </c>
      <c r="AE289" s="2">
        <v>3268.1443199999999</v>
      </c>
      <c r="AG289" s="2">
        <v>766</v>
      </c>
      <c r="AH289" s="2">
        <v>1586.6557499999999</v>
      </c>
    </row>
    <row r="290" spans="2:34" x14ac:dyDescent="0.2">
      <c r="B290" s="2">
        <v>767</v>
      </c>
      <c r="C290" s="2">
        <v>951.94592</v>
      </c>
      <c r="P290" s="2">
        <v>767</v>
      </c>
      <c r="Q290" s="7">
        <v>752.80400999999995</v>
      </c>
      <c r="AD290" s="2">
        <v>767</v>
      </c>
      <c r="AE290" s="2">
        <v>2643.8154500000001</v>
      </c>
      <c r="AG290" s="2">
        <v>767</v>
      </c>
      <c r="AH290" s="2">
        <v>1435.4792299999999</v>
      </c>
    </row>
    <row r="291" spans="2:34" x14ac:dyDescent="0.2">
      <c r="B291" s="2">
        <v>768</v>
      </c>
      <c r="C291" s="2">
        <v>849.01369999999997</v>
      </c>
      <c r="P291" s="2">
        <v>768</v>
      </c>
      <c r="Q291" s="7">
        <v>1005.55333</v>
      </c>
      <c r="AD291" s="2">
        <v>768</v>
      </c>
      <c r="AE291" s="2">
        <v>2831.4259299999999</v>
      </c>
      <c r="AG291" s="2">
        <v>768</v>
      </c>
      <c r="AH291" s="2">
        <v>2034.7476999999999</v>
      </c>
    </row>
    <row r="292" spans="2:34" x14ac:dyDescent="0.2">
      <c r="B292" s="2">
        <v>769</v>
      </c>
      <c r="C292" s="2">
        <v>886.01698999999996</v>
      </c>
      <c r="P292" s="2">
        <v>769</v>
      </c>
      <c r="Q292" s="7">
        <v>913.94771000000003</v>
      </c>
      <c r="AD292" s="2">
        <v>769</v>
      </c>
      <c r="AE292" s="2">
        <v>2226.4176000000002</v>
      </c>
      <c r="AG292" s="2">
        <v>769</v>
      </c>
      <c r="AH292" s="2">
        <v>1637.7778000000001</v>
      </c>
    </row>
    <row r="293" spans="2:34" x14ac:dyDescent="0.2">
      <c r="B293" s="2">
        <v>770</v>
      </c>
      <c r="C293" s="2">
        <v>1336.84743</v>
      </c>
      <c r="P293" s="2">
        <v>770</v>
      </c>
      <c r="Q293" s="7">
        <v>624.45948999999996</v>
      </c>
      <c r="AD293" s="2">
        <v>770</v>
      </c>
      <c r="AE293" s="2">
        <v>2878.9962099999998</v>
      </c>
      <c r="AG293" s="2">
        <v>770</v>
      </c>
      <c r="AH293" s="2">
        <v>1606.4983099999999</v>
      </c>
    </row>
    <row r="294" spans="2:34" x14ac:dyDescent="0.2">
      <c r="B294" s="2">
        <v>771</v>
      </c>
      <c r="C294" s="2">
        <v>1099.9093399999999</v>
      </c>
      <c r="P294" s="2">
        <v>771</v>
      </c>
      <c r="Q294" s="7">
        <v>846.95425</v>
      </c>
      <c r="AD294" s="2">
        <v>771</v>
      </c>
      <c r="AE294" s="2">
        <v>2737.5711299999998</v>
      </c>
      <c r="AG294" s="2">
        <v>771</v>
      </c>
      <c r="AH294" s="2">
        <v>2245.9203299999999</v>
      </c>
    </row>
    <row r="295" spans="2:34" x14ac:dyDescent="0.2">
      <c r="B295" s="2">
        <v>772</v>
      </c>
      <c r="C295" s="2">
        <v>1156.7402</v>
      </c>
      <c r="P295" s="2">
        <v>772</v>
      </c>
      <c r="Q295" s="7">
        <v>885.66092000000003</v>
      </c>
      <c r="AD295" s="2">
        <v>772</v>
      </c>
      <c r="AE295" s="2">
        <v>3235.4324999999999</v>
      </c>
      <c r="AG295" s="2">
        <v>772</v>
      </c>
      <c r="AH295" s="2">
        <v>2361.2689399999999</v>
      </c>
    </row>
    <row r="296" spans="2:34" x14ac:dyDescent="0.2">
      <c r="B296" s="2">
        <v>773</v>
      </c>
      <c r="C296" s="2">
        <v>937.57628</v>
      </c>
      <c r="P296" s="2">
        <v>773</v>
      </c>
      <c r="Q296" s="7">
        <v>1105.0193099999999</v>
      </c>
      <c r="AD296" s="2">
        <v>773</v>
      </c>
      <c r="AE296" s="2">
        <v>2943.0733399999999</v>
      </c>
      <c r="AG296" s="2">
        <v>773</v>
      </c>
      <c r="AH296" s="2">
        <v>2100.2728299999999</v>
      </c>
    </row>
    <row r="297" spans="2:34" x14ac:dyDescent="0.2">
      <c r="B297" s="2">
        <v>774</v>
      </c>
      <c r="C297" s="2">
        <v>1573.60103</v>
      </c>
      <c r="P297" s="2">
        <v>774</v>
      </c>
      <c r="Q297" s="7">
        <v>1009.12819</v>
      </c>
      <c r="AD297" s="2">
        <v>774</v>
      </c>
      <c r="AE297" s="2">
        <v>2003.91301</v>
      </c>
      <c r="AG297" s="2">
        <v>774</v>
      </c>
      <c r="AH297" s="2">
        <v>1636.1947399999999</v>
      </c>
    </row>
    <row r="298" spans="2:34" x14ac:dyDescent="0.2">
      <c r="B298" s="2">
        <v>775</v>
      </c>
      <c r="C298" s="2">
        <v>1608.9927</v>
      </c>
      <c r="P298" s="2">
        <v>775</v>
      </c>
      <c r="Q298" s="7">
        <v>911.34762999999998</v>
      </c>
      <c r="AD298" s="2">
        <v>775</v>
      </c>
      <c r="AE298" s="2">
        <v>2511.3330099999998</v>
      </c>
      <c r="AG298" s="2">
        <v>775</v>
      </c>
      <c r="AH298" s="2">
        <v>1659.56808</v>
      </c>
    </row>
    <row r="299" spans="2:34" x14ac:dyDescent="0.2">
      <c r="B299" s="2">
        <v>776</v>
      </c>
      <c r="C299" s="2">
        <v>875.68737999999996</v>
      </c>
      <c r="P299" s="2">
        <v>776</v>
      </c>
      <c r="Q299" s="7">
        <v>951.54240000000004</v>
      </c>
      <c r="AD299" s="2">
        <v>776</v>
      </c>
      <c r="AE299" s="2">
        <v>2426.7710400000001</v>
      </c>
      <c r="AG299" s="2">
        <v>776</v>
      </c>
      <c r="AH299" s="2">
        <v>1679.3565000000001</v>
      </c>
    </row>
    <row r="300" spans="2:34" x14ac:dyDescent="0.2">
      <c r="B300" s="2">
        <v>777</v>
      </c>
      <c r="C300" s="2">
        <v>1222.1785299999999</v>
      </c>
      <c r="P300" s="2">
        <v>777</v>
      </c>
      <c r="Q300" s="7">
        <v>862.82703000000004</v>
      </c>
      <c r="AD300" s="2">
        <v>777</v>
      </c>
      <c r="AE300" s="2">
        <v>2442.3256900000001</v>
      </c>
      <c r="AG300" s="2">
        <v>777</v>
      </c>
      <c r="AH300" s="2">
        <v>1815.9311399999999</v>
      </c>
    </row>
    <row r="301" spans="2:34" x14ac:dyDescent="0.2">
      <c r="B301" s="2">
        <v>778</v>
      </c>
      <c r="C301" s="2">
        <v>883.28008</v>
      </c>
      <c r="P301" s="2">
        <v>778</v>
      </c>
      <c r="Q301" s="7">
        <v>930.76496999999995</v>
      </c>
      <c r="AD301" s="2">
        <v>778</v>
      </c>
      <c r="AE301" s="2">
        <v>2385.6310199999998</v>
      </c>
      <c r="AG301" s="2">
        <v>778</v>
      </c>
      <c r="AH301" s="2">
        <v>1360.9978799999999</v>
      </c>
    </row>
    <row r="302" spans="2:34" x14ac:dyDescent="0.2">
      <c r="B302" s="2">
        <v>779</v>
      </c>
      <c r="C302" s="2">
        <v>1162.53574</v>
      </c>
      <c r="P302" s="2">
        <v>779</v>
      </c>
      <c r="Q302" s="7">
        <v>1001.3167999999999</v>
      </c>
      <c r="AD302" s="2">
        <v>779</v>
      </c>
      <c r="AE302" s="2">
        <v>2429.3316</v>
      </c>
      <c r="AG302" s="2">
        <v>779</v>
      </c>
      <c r="AH302" s="2">
        <v>1740.86032</v>
      </c>
    </row>
    <row r="303" spans="2:34" x14ac:dyDescent="0.2">
      <c r="B303" s="2">
        <v>780</v>
      </c>
      <c r="C303" s="2">
        <v>933.18110999999999</v>
      </c>
      <c r="P303" s="2">
        <v>780</v>
      </c>
      <c r="Q303" s="7">
        <v>818.62678000000005</v>
      </c>
      <c r="AD303" s="2">
        <v>780</v>
      </c>
      <c r="AE303" s="2">
        <v>1968.5505700000001</v>
      </c>
      <c r="AG303" s="2">
        <v>780</v>
      </c>
      <c r="AH303" s="2">
        <v>2055.9493400000001</v>
      </c>
    </row>
    <row r="304" spans="2:34" x14ac:dyDescent="0.2">
      <c r="B304" s="2">
        <v>781</v>
      </c>
      <c r="C304" s="2">
        <v>1239.08143</v>
      </c>
      <c r="P304" s="2">
        <v>781</v>
      </c>
      <c r="Q304" s="7">
        <v>934.98135000000002</v>
      </c>
      <c r="AD304" s="2">
        <v>781</v>
      </c>
      <c r="AE304" s="2">
        <v>1978.69533</v>
      </c>
      <c r="AG304" s="2">
        <v>781</v>
      </c>
      <c r="AH304" s="2">
        <v>1951.82881</v>
      </c>
    </row>
    <row r="305" spans="2:34" x14ac:dyDescent="0.2">
      <c r="B305" s="2">
        <v>782</v>
      </c>
      <c r="C305" s="2">
        <v>820.01972000000001</v>
      </c>
      <c r="P305" s="2">
        <v>782</v>
      </c>
      <c r="Q305" s="7">
        <v>1409.91328</v>
      </c>
      <c r="AD305" s="2">
        <v>782</v>
      </c>
      <c r="AE305" s="2">
        <v>1822.2032999999999</v>
      </c>
      <c r="AG305" s="2">
        <v>782</v>
      </c>
      <c r="AH305" s="2">
        <v>1630.9773499999999</v>
      </c>
    </row>
    <row r="306" spans="2:34" x14ac:dyDescent="0.2">
      <c r="B306" s="2">
        <v>783</v>
      </c>
      <c r="C306" s="2">
        <v>1461.5533</v>
      </c>
      <c r="P306" s="2">
        <v>783</v>
      </c>
      <c r="Q306" s="7">
        <v>914.38783999999998</v>
      </c>
      <c r="AD306" s="2">
        <v>783</v>
      </c>
      <c r="AE306" s="2">
        <v>2295.7249299999999</v>
      </c>
      <c r="AG306" s="2">
        <v>783</v>
      </c>
      <c r="AH306" s="2">
        <v>1807.9891600000001</v>
      </c>
    </row>
    <row r="307" spans="2:34" x14ac:dyDescent="0.2">
      <c r="B307" s="2">
        <v>784</v>
      </c>
      <c r="C307" s="2">
        <v>1479.7531100000001</v>
      </c>
      <c r="P307" s="2">
        <v>784</v>
      </c>
      <c r="Q307" s="7">
        <v>1006.48995</v>
      </c>
      <c r="AD307" s="2">
        <v>784</v>
      </c>
      <c r="AE307" s="2">
        <v>2088.6729599999999</v>
      </c>
      <c r="AG307" s="2">
        <v>784</v>
      </c>
      <c r="AH307" s="2">
        <v>1082.3081500000001</v>
      </c>
    </row>
    <row r="308" spans="2:34" x14ac:dyDescent="0.2">
      <c r="B308" s="2">
        <v>785</v>
      </c>
      <c r="C308" s="2">
        <v>1370.15228</v>
      </c>
      <c r="P308" s="2">
        <v>785</v>
      </c>
      <c r="Q308" s="7">
        <v>1610.6543999999999</v>
      </c>
      <c r="AD308" s="2">
        <v>785</v>
      </c>
      <c r="AE308" s="2">
        <v>2533.3880300000001</v>
      </c>
      <c r="AG308" s="2">
        <v>785</v>
      </c>
      <c r="AH308" s="2">
        <v>1192.0789500000001</v>
      </c>
    </row>
    <row r="309" spans="2:34" x14ac:dyDescent="0.2">
      <c r="B309" s="2">
        <v>786</v>
      </c>
      <c r="C309" s="2">
        <v>1322.43481</v>
      </c>
      <c r="P309" s="2">
        <v>786</v>
      </c>
      <c r="Q309" s="7">
        <v>950.77291000000002</v>
      </c>
      <c r="AD309" s="2">
        <v>786</v>
      </c>
      <c r="AE309" s="2">
        <v>2162.3929800000001</v>
      </c>
      <c r="AG309" s="2">
        <v>786</v>
      </c>
      <c r="AH309" s="2">
        <v>1976.0963899999999</v>
      </c>
    </row>
    <row r="310" spans="2:34" x14ac:dyDescent="0.2">
      <c r="B310" s="2">
        <v>787</v>
      </c>
      <c r="C310" s="2">
        <v>1423.24506</v>
      </c>
      <c r="P310" s="2">
        <v>787</v>
      </c>
      <c r="Q310" s="7">
        <v>732.63239999999996</v>
      </c>
      <c r="AD310" s="2">
        <v>787</v>
      </c>
      <c r="AE310" s="2">
        <v>2044.7736</v>
      </c>
      <c r="AG310" s="2">
        <v>787</v>
      </c>
      <c r="AH310" s="2">
        <v>1708.19912</v>
      </c>
    </row>
    <row r="311" spans="2:34" x14ac:dyDescent="0.2">
      <c r="B311" s="2">
        <v>788</v>
      </c>
      <c r="C311" s="2">
        <v>1423.35068</v>
      </c>
      <c r="P311" s="2">
        <v>788</v>
      </c>
      <c r="Q311" s="7">
        <v>922.96100999999999</v>
      </c>
      <c r="AD311" s="2">
        <v>788</v>
      </c>
      <c r="AE311" s="2">
        <v>1867.13526</v>
      </c>
      <c r="AG311" s="2">
        <v>788</v>
      </c>
      <c r="AH311" s="2">
        <v>1462.91092</v>
      </c>
    </row>
    <row r="312" spans="2:34" x14ac:dyDescent="0.2">
      <c r="B312" s="2">
        <v>789</v>
      </c>
      <c r="C312" s="2">
        <v>724.82183999999995</v>
      </c>
      <c r="P312" s="2">
        <v>789</v>
      </c>
      <c r="Q312" s="7">
        <v>1302.9666099999999</v>
      </c>
      <c r="AD312" s="2">
        <v>789</v>
      </c>
      <c r="AE312" s="2">
        <v>1740.8863899999999</v>
      </c>
      <c r="AG312" s="2">
        <v>789</v>
      </c>
      <c r="AH312" s="2">
        <v>1812.50965</v>
      </c>
    </row>
    <row r="313" spans="2:34" x14ac:dyDescent="0.2">
      <c r="B313" s="2">
        <v>790</v>
      </c>
      <c r="C313" s="2">
        <v>1526.09025</v>
      </c>
      <c r="P313" s="2">
        <v>790</v>
      </c>
      <c r="Q313" s="7">
        <v>1045.3281500000001</v>
      </c>
      <c r="AD313" s="2">
        <v>790</v>
      </c>
      <c r="AE313" s="2">
        <v>1812.1509699999999</v>
      </c>
      <c r="AG313" s="2">
        <v>790</v>
      </c>
      <c r="AH313" s="2">
        <v>1516.1316300000001</v>
      </c>
    </row>
    <row r="314" spans="2:34" x14ac:dyDescent="0.2">
      <c r="B314" s="2">
        <v>791</v>
      </c>
      <c r="C314" s="2">
        <v>811.23414000000002</v>
      </c>
      <c r="P314" s="2">
        <v>791</v>
      </c>
      <c r="Q314" s="7">
        <v>664.71424000000002</v>
      </c>
      <c r="AD314" s="2">
        <v>791</v>
      </c>
      <c r="AE314" s="2">
        <v>2399.2561700000001</v>
      </c>
      <c r="AG314" s="2">
        <v>791</v>
      </c>
      <c r="AH314" s="2">
        <v>1619.1253400000001</v>
      </c>
    </row>
    <row r="315" spans="2:34" x14ac:dyDescent="0.2">
      <c r="B315" s="2">
        <v>792</v>
      </c>
      <c r="C315" s="2">
        <v>644.25156000000004</v>
      </c>
      <c r="P315" s="2">
        <v>792</v>
      </c>
      <c r="Q315" s="7">
        <v>1107.99666</v>
      </c>
      <c r="AD315" s="2">
        <v>792</v>
      </c>
      <c r="AE315" s="2">
        <v>1713.73912</v>
      </c>
      <c r="AG315" s="2">
        <v>792</v>
      </c>
      <c r="AH315" s="2">
        <v>1517.6667</v>
      </c>
    </row>
    <row r="316" spans="2:34" x14ac:dyDescent="0.2">
      <c r="B316" s="2">
        <v>793</v>
      </c>
      <c r="C316" s="2">
        <v>1789.31537</v>
      </c>
      <c r="P316" s="2">
        <v>793</v>
      </c>
      <c r="Q316" s="7">
        <v>1135.7832699999999</v>
      </c>
      <c r="AD316" s="2">
        <v>793</v>
      </c>
      <c r="AE316" s="2">
        <v>1645.71064</v>
      </c>
      <c r="AG316" s="2">
        <v>793</v>
      </c>
      <c r="AH316" s="2">
        <v>1291.0743299999999</v>
      </c>
    </row>
    <row r="317" spans="2:34" x14ac:dyDescent="0.2">
      <c r="B317" s="2">
        <v>794</v>
      </c>
      <c r="C317" s="2">
        <v>1828.6279</v>
      </c>
      <c r="P317" s="2">
        <v>794</v>
      </c>
      <c r="Q317" s="7">
        <v>1041.3102799999999</v>
      </c>
      <c r="AD317" s="2">
        <v>794</v>
      </c>
      <c r="AE317" s="2">
        <v>1984.8431700000001</v>
      </c>
      <c r="AG317" s="2">
        <v>794</v>
      </c>
      <c r="AH317" s="2">
        <v>2041.6046799999999</v>
      </c>
    </row>
    <row r="318" spans="2:34" x14ac:dyDescent="0.2">
      <c r="B318" s="2">
        <v>795</v>
      </c>
      <c r="C318" s="2">
        <v>1393.7572299999999</v>
      </c>
      <c r="P318" s="2">
        <v>795</v>
      </c>
      <c r="Q318" s="7">
        <v>1341.8069499999999</v>
      </c>
      <c r="AD318" s="2">
        <v>795</v>
      </c>
      <c r="AE318" s="2">
        <v>1629.88472</v>
      </c>
      <c r="AG318" s="2">
        <v>795</v>
      </c>
      <c r="AH318" s="2">
        <v>2066.6128699999999</v>
      </c>
    </row>
    <row r="319" spans="2:34" x14ac:dyDescent="0.2">
      <c r="B319" s="2">
        <v>796</v>
      </c>
      <c r="C319" s="2">
        <v>745.67724999999996</v>
      </c>
      <c r="P319" s="2">
        <v>796</v>
      </c>
      <c r="Q319" s="7">
        <v>1410.33035</v>
      </c>
      <c r="AD319" s="2">
        <v>796</v>
      </c>
      <c r="AE319" s="2">
        <v>1917.64706</v>
      </c>
      <c r="AG319" s="2">
        <v>796</v>
      </c>
      <c r="AH319" s="2">
        <v>2015.14732</v>
      </c>
    </row>
    <row r="320" spans="2:34" x14ac:dyDescent="0.2">
      <c r="B320" s="2">
        <v>797</v>
      </c>
      <c r="C320" s="2">
        <v>1162.9702299999999</v>
      </c>
      <c r="P320" s="2">
        <v>797</v>
      </c>
      <c r="Q320" s="7">
        <v>471.27415000000002</v>
      </c>
      <c r="AD320" s="2">
        <v>797</v>
      </c>
      <c r="AE320" s="2">
        <v>2338.7860300000002</v>
      </c>
      <c r="AG320" s="2">
        <v>797</v>
      </c>
      <c r="AH320" s="2">
        <v>1452.8039100000001</v>
      </c>
    </row>
    <row r="321" spans="2:34" x14ac:dyDescent="0.2">
      <c r="B321" s="2">
        <v>798</v>
      </c>
      <c r="C321" s="2">
        <v>985.77880000000005</v>
      </c>
      <c r="P321" s="2">
        <v>798</v>
      </c>
      <c r="Q321" s="7">
        <v>900.63543000000004</v>
      </c>
      <c r="AD321" s="2">
        <v>798</v>
      </c>
      <c r="AE321" s="2">
        <v>1659.2661800000001</v>
      </c>
      <c r="AG321" s="2">
        <v>798</v>
      </c>
      <c r="AH321" s="2">
        <v>1596.5786599999999</v>
      </c>
    </row>
    <row r="322" spans="2:34" x14ac:dyDescent="0.2">
      <c r="B322" s="2">
        <v>799</v>
      </c>
      <c r="C322" s="2">
        <v>843.56632999999999</v>
      </c>
      <c r="P322" s="2">
        <v>799</v>
      </c>
      <c r="Q322" s="7">
        <v>927.22550999999999</v>
      </c>
      <c r="AD322" s="2">
        <v>799</v>
      </c>
      <c r="AE322" s="2">
        <v>1711.1609599999999</v>
      </c>
      <c r="AG322" s="2">
        <v>799</v>
      </c>
      <c r="AH322" s="2">
        <v>1628.3128899999999</v>
      </c>
    </row>
    <row r="323" spans="2:34" x14ac:dyDescent="0.2">
      <c r="B323" s="2">
        <v>800</v>
      </c>
      <c r="C323" s="2">
        <v>718.32935999999995</v>
      </c>
      <c r="P323" s="2">
        <v>800</v>
      </c>
      <c r="Q323" s="7">
        <v>1465.8842199999999</v>
      </c>
      <c r="AD323" s="2">
        <v>800</v>
      </c>
      <c r="AE323" s="2">
        <v>2421.0729900000001</v>
      </c>
      <c r="AG323" s="2">
        <v>800</v>
      </c>
      <c r="AH323" s="2">
        <v>973.62828999999999</v>
      </c>
    </row>
  </sheetData>
  <phoneticPr fontId="2" type="noConversion"/>
  <pageMargins left="0.75" right="0.75" top="1" bottom="1" header="0.4921259845" footer="0.4921259845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CF6C7-0D81-46D5-B67F-88CEC55ECCC5}">
  <dimension ref="A1:AE323"/>
  <sheetViews>
    <sheetView topLeftCell="J1" workbookViewId="0">
      <selection activeCell="AC11" sqref="AC11"/>
    </sheetView>
  </sheetViews>
  <sheetFormatPr baseColWidth="10" defaultRowHeight="12.75" x14ac:dyDescent="0.2"/>
  <cols>
    <col min="16" max="16" width="12.42578125" bestFit="1" customWidth="1"/>
    <col min="28" max="28" width="12.42578125" bestFit="1" customWidth="1"/>
    <col min="31" max="31" width="14.42578125" bestFit="1" customWidth="1"/>
  </cols>
  <sheetData>
    <row r="1" spans="1:31" x14ac:dyDescent="0.2">
      <c r="A1" s="2" t="s">
        <v>6</v>
      </c>
      <c r="B1" s="7" t="s">
        <v>13</v>
      </c>
      <c r="C1" s="2"/>
      <c r="D1" s="2"/>
      <c r="E1" s="2" t="s">
        <v>7</v>
      </c>
      <c r="F1" s="2" t="s">
        <v>13</v>
      </c>
      <c r="G1" s="2"/>
      <c r="H1" s="2"/>
      <c r="I1" s="2" t="s">
        <v>10</v>
      </c>
      <c r="J1" s="2" t="s">
        <v>13</v>
      </c>
      <c r="K1" s="2"/>
      <c r="L1" s="2"/>
      <c r="M1" s="2" t="s">
        <v>11</v>
      </c>
      <c r="N1" s="2" t="s">
        <v>13</v>
      </c>
      <c r="O1" s="2"/>
      <c r="P1" s="2"/>
      <c r="Q1" s="2" t="s">
        <v>8</v>
      </c>
      <c r="R1" s="2" t="s">
        <v>13</v>
      </c>
      <c r="S1" s="2"/>
      <c r="T1" s="2"/>
      <c r="U1" s="2" t="s">
        <v>9</v>
      </c>
      <c r="V1" s="2" t="s">
        <v>13</v>
      </c>
    </row>
    <row r="2" spans="1:31" x14ac:dyDescent="0.2">
      <c r="A2" s="4" t="s">
        <v>0</v>
      </c>
      <c r="B2" s="8" t="s">
        <v>14</v>
      </c>
      <c r="C2" s="4" t="s">
        <v>15</v>
      </c>
      <c r="D2" s="4" t="s">
        <v>16</v>
      </c>
      <c r="E2" s="1" t="s">
        <v>0</v>
      </c>
      <c r="F2" s="1" t="s">
        <v>14</v>
      </c>
      <c r="G2" s="1" t="s">
        <v>15</v>
      </c>
      <c r="H2" s="1" t="s">
        <v>17</v>
      </c>
      <c r="I2" s="3" t="s">
        <v>0</v>
      </c>
      <c r="J2" s="3" t="s">
        <v>14</v>
      </c>
      <c r="K2" s="3" t="s">
        <v>15</v>
      </c>
      <c r="L2" s="3" t="s">
        <v>16</v>
      </c>
      <c r="M2" s="5" t="s">
        <v>0</v>
      </c>
      <c r="N2" s="5" t="s">
        <v>14</v>
      </c>
      <c r="O2" s="5" t="s">
        <v>15</v>
      </c>
      <c r="P2" s="5" t="s">
        <v>17</v>
      </c>
      <c r="Q2" s="4" t="s">
        <v>0</v>
      </c>
      <c r="R2" s="8" t="s">
        <v>14</v>
      </c>
      <c r="S2" s="4" t="s">
        <v>15</v>
      </c>
      <c r="T2" s="4"/>
      <c r="U2" s="4" t="s">
        <v>0</v>
      </c>
      <c r="V2" s="8" t="s">
        <v>14</v>
      </c>
      <c r="W2" s="4" t="s">
        <v>15</v>
      </c>
      <c r="X2" s="4"/>
      <c r="Y2" s="15" t="s">
        <v>18</v>
      </c>
      <c r="Z2" s="15" t="s">
        <v>19</v>
      </c>
      <c r="AA2" s="15" t="s">
        <v>24</v>
      </c>
      <c r="AB2" s="16" t="s">
        <v>20</v>
      </c>
      <c r="AC2" s="16" t="s">
        <v>21</v>
      </c>
      <c r="AD2" s="15" t="s">
        <v>53</v>
      </c>
      <c r="AE2" s="16" t="s">
        <v>54</v>
      </c>
    </row>
    <row r="3" spans="1:31" x14ac:dyDescent="0.2">
      <c r="A3" cm="1">
        <f t="array" ref="A3:A323">Messdaten!P3:P323</f>
        <v>480</v>
      </c>
      <c r="B3" s="13">
        <f>Messdaten!Q3-Messdaten!C3</f>
        <v>30.509199999999964</v>
      </c>
      <c r="C3">
        <f>(B3-MIN(B:B))/(MAX(B:B)-MIN(B:B))</f>
        <v>6.7703440784278781E-3</v>
      </c>
      <c r="D3">
        <f>B3/SUM(B:B)</f>
        <v>5.1148021872131306E-6</v>
      </c>
      <c r="E3" cm="1">
        <f t="array" ref="E3:E113">Messdaten!S3:S113</f>
        <v>400</v>
      </c>
      <c r="F3" s="13">
        <f>Messdaten!T3-Messdaten!I3</f>
        <v>2305.6502</v>
      </c>
      <c r="G3">
        <f>(F3-MIN(F:F))/(MAX(F:F)-MIN(F:F))</f>
        <v>0</v>
      </c>
      <c r="H3">
        <f>F3/MAX(F:F)*71000</f>
        <v>641.05256081947414</v>
      </c>
      <c r="I3" cm="1">
        <f t="array" ref="I3:I183">Messdaten!V3:V183</f>
        <v>620</v>
      </c>
      <c r="J3" s="13">
        <f>Messdaten!W3-Messdaten!F3</f>
        <v>1157.3333500000001</v>
      </c>
      <c r="K3">
        <f>(J3-MIN(J:J))/(MAX(J:J)-MIN(J:J))</f>
        <v>0</v>
      </c>
      <c r="L3">
        <f>J3/SUM(J:J)</f>
        <v>1.7980356966831035E-4</v>
      </c>
      <c r="M3" cm="1">
        <f t="array" ref="M3:M263">Messdaten!Y3:Y263</f>
        <v>400</v>
      </c>
      <c r="N3" s="13">
        <f>Messdaten!Z3-Messdaten!L3</f>
        <v>844.56341000000009</v>
      </c>
      <c r="O3">
        <f>(N3-MIN(N:N))/(MAX(N:N)-MIN(N:N))</f>
        <v>1.6598888482068596E-3</v>
      </c>
      <c r="P3">
        <f>N3/MAX(N:N)*250000</f>
        <v>307.00924994985036</v>
      </c>
      <c r="Q3" cm="1">
        <f t="array" ref="Q3:Q323">Messdaten!AD3:AD323</f>
        <v>480</v>
      </c>
      <c r="R3">
        <f>Messdaten!AE3-Messdaten!C3</f>
        <v>-95.486430000000382</v>
      </c>
      <c r="S3">
        <f>(R3-MIN(R:R))/(MAX(R:R)-MIN(R:R))</f>
        <v>4.6630557893225188E-4</v>
      </c>
      <c r="U3" cm="1">
        <f t="array" ref="U3:U323">Messdaten!AG3:AG323</f>
        <v>480</v>
      </c>
      <c r="V3">
        <f>Messdaten!AH3-Messdaten!C3</f>
        <v>231.01857999999993</v>
      </c>
      <c r="W3">
        <f>(V3-MIN(V:V))/(MAX(V:V)-MIN(V:V))</f>
        <v>7.2788606987071137E-3</v>
      </c>
      <c r="Y3" s="14">
        <f>A3</f>
        <v>480</v>
      </c>
      <c r="Z3">
        <f>D3*P83*Y3^4</f>
        <v>216597441.88670567</v>
      </c>
      <c r="AA3">
        <f>(Z3+Z4)/2*(Y4-Y3)</f>
        <v>2306590941.0879893</v>
      </c>
      <c r="AB3" s="17">
        <f>SUM(AA:AA)</f>
        <v>1602186589414095.5</v>
      </c>
      <c r="AC3" s="17">
        <f>0.218*(2/3*0.8*1.333^(-4)*AB3)^(1/6)</f>
        <v>55.444060749041377</v>
      </c>
      <c r="AD3" s="2">
        <v>53</v>
      </c>
      <c r="AE3" s="25">
        <f>(AD3-AC3)/AD3*100</f>
        <v>-4.6114353755497675</v>
      </c>
    </row>
    <row r="4" spans="1:31" x14ac:dyDescent="0.2">
      <c r="A4">
        <v>481</v>
      </c>
      <c r="B4" s="13">
        <f>Messdaten!Q4-Messdaten!C4</f>
        <v>607.17922999999973</v>
      </c>
      <c r="C4">
        <f t="shared" ref="C3:C66" si="0">(B4-MIN(B:B))/(MAX(B:B)-MIN(B:B))</f>
        <v>1.15442820654669E-2</v>
      </c>
      <c r="D4">
        <f t="shared" ref="D4:D67" si="1">B4/SUM(B:B)</f>
        <v>1.0179230047442695E-4</v>
      </c>
      <c r="E4">
        <v>401</v>
      </c>
      <c r="F4" s="13">
        <f>Messdaten!T4-Messdaten!I4</f>
        <v>2453.1292800000001</v>
      </c>
      <c r="G4">
        <f t="shared" ref="G4:G67" si="2">(F4-MIN(F:F))/(MAX(F:F)-MIN(F:F))</f>
        <v>5.8278894636962383E-4</v>
      </c>
      <c r="H4">
        <f t="shared" ref="H4:H67" si="3">F4/MAX(F:F)*71000</f>
        <v>682.05697766522985</v>
      </c>
      <c r="I4">
        <v>621</v>
      </c>
      <c r="J4" s="13">
        <f>Messdaten!W4-Messdaten!F4</f>
        <v>1410.4983400000001</v>
      </c>
      <c r="K4">
        <f t="shared" ref="K4:K67" si="4">(J4-MIN(J:J))/(MAX(J:J)-MIN(J:J))</f>
        <v>1.8675995700643611E-3</v>
      </c>
      <c r="L4">
        <f t="shared" ref="L4:L67" si="5">J4/SUM(J:J)</f>
        <v>2.1913533947952513E-4</v>
      </c>
      <c r="M4">
        <v>401</v>
      </c>
      <c r="N4" s="13">
        <f>Messdaten!Z4-Messdaten!L4</f>
        <v>1237.69012</v>
      </c>
      <c r="O4">
        <f t="shared" ref="O4:O67" si="6">(N4-MIN(N:N))/(MAX(N:N)-MIN(N:N))</f>
        <v>2.2312673812146773E-3</v>
      </c>
      <c r="P4">
        <f t="shared" ref="P4:P67" si="7">N4/MAX(N:N)*250000</f>
        <v>449.91567348571283</v>
      </c>
      <c r="Q4">
        <v>481</v>
      </c>
      <c r="R4">
        <f>Messdaten!AE4-Messdaten!C4</f>
        <v>524.89689999999973</v>
      </c>
      <c r="S4">
        <f t="shared" ref="S4:S67" si="8">(R4-MIN(R:R))/(MAX(R:R)-MIN(R:R))</f>
        <v>6.4783261169722595E-3</v>
      </c>
      <c r="U4">
        <v>481</v>
      </c>
      <c r="V4">
        <f>Messdaten!AH4-Messdaten!C4</f>
        <v>666.54586999999992</v>
      </c>
      <c r="W4">
        <f t="shared" ref="W4:W67" si="9">(V4-MIN(V:V))/(MAX(V:V)-MIN(V:V))</f>
        <v>1.1625930504101543E-2</v>
      </c>
      <c r="Y4" s="14">
        <f>A4</f>
        <v>481</v>
      </c>
      <c r="Z4">
        <f>D4*P84*Y4^4</f>
        <v>4396584440.2892733</v>
      </c>
      <c r="AA4">
        <f>(Z4+Z5)/2*(Y5-Y4)</f>
        <v>5827356985.5444469</v>
      </c>
    </row>
    <row r="5" spans="1:31" x14ac:dyDescent="0.2">
      <c r="A5">
        <v>482</v>
      </c>
      <c r="B5" s="13">
        <f>Messdaten!Q5-Messdaten!C5</f>
        <v>1054.80432</v>
      </c>
      <c r="C5">
        <f t="shared" si="0"/>
        <v>1.524992707896407E-2</v>
      </c>
      <c r="D5">
        <f t="shared" si="1"/>
        <v>1.7683569031694916E-4</v>
      </c>
      <c r="E5">
        <v>402</v>
      </c>
      <c r="F5" s="13">
        <f>Messdaten!T5-Messdaten!I5</f>
        <v>2535.41435</v>
      </c>
      <c r="G5">
        <f t="shared" si="2"/>
        <v>9.079525509110317E-4</v>
      </c>
      <c r="H5">
        <f t="shared" si="3"/>
        <v>704.93514662629332</v>
      </c>
      <c r="I5">
        <v>622</v>
      </c>
      <c r="J5" s="13">
        <f>Messdaten!W5-Messdaten!F5</f>
        <v>1683.6233199999999</v>
      </c>
      <c r="K5">
        <f t="shared" si="4"/>
        <v>3.8824440997990489E-3</v>
      </c>
      <c r="L5">
        <f t="shared" si="5"/>
        <v>2.6156809782834991E-4</v>
      </c>
      <c r="M5">
        <v>402</v>
      </c>
      <c r="N5" s="13">
        <f>Messdaten!Z5-Messdaten!L5</f>
        <v>974.40384000000006</v>
      </c>
      <c r="O5">
        <f t="shared" si="6"/>
        <v>1.8486016284158266E-3</v>
      </c>
      <c r="P5">
        <f t="shared" si="7"/>
        <v>354.20785286761833</v>
      </c>
      <c r="Q5">
        <v>482</v>
      </c>
      <c r="R5">
        <f>Messdaten!AE5-Messdaten!C5</f>
        <v>951.87303999999972</v>
      </c>
      <c r="S5">
        <f t="shared" si="8"/>
        <v>1.0616073214291985E-2</v>
      </c>
      <c r="U5">
        <v>482</v>
      </c>
      <c r="V5">
        <f>Messdaten!AH5-Messdaten!C5</f>
        <v>1022.8246000000001</v>
      </c>
      <c r="W5">
        <f t="shared" si="9"/>
        <v>1.5182007344859961E-2</v>
      </c>
      <c r="Y5" s="14">
        <f>A5</f>
        <v>482</v>
      </c>
      <c r="Z5">
        <f>D5*P85*Y5^4</f>
        <v>7258129530.7996216</v>
      </c>
      <c r="AA5">
        <f>(Z5+Z6)/2*(Y6-Y5)</f>
        <v>10793745477.166639</v>
      </c>
    </row>
    <row r="6" spans="1:31" x14ac:dyDescent="0.2">
      <c r="A6">
        <v>483</v>
      </c>
      <c r="B6" s="13">
        <f>Messdaten!Q6-Messdaten!C6</f>
        <v>1631.8586600000001</v>
      </c>
      <c r="C6">
        <f t="shared" si="0"/>
        <v>2.002704655977311E-2</v>
      </c>
      <c r="D6">
        <f t="shared" si="1"/>
        <v>2.7357761735446025E-4</v>
      </c>
      <c r="E6">
        <v>403</v>
      </c>
      <c r="F6" s="13">
        <f>Messdaten!T6-Messdaten!I6</f>
        <v>2513.4084800000001</v>
      </c>
      <c r="G6">
        <f t="shared" si="2"/>
        <v>8.2099257129055337E-4</v>
      </c>
      <c r="H6">
        <f t="shared" si="3"/>
        <v>698.81673399086378</v>
      </c>
      <c r="I6">
        <v>623</v>
      </c>
      <c r="J6" s="13">
        <f>Messdaten!W6-Messdaten!F6</f>
        <v>2219.5947700000002</v>
      </c>
      <c r="K6">
        <f t="shared" si="4"/>
        <v>7.836308532581689E-3</v>
      </c>
      <c r="L6">
        <f t="shared" si="5"/>
        <v>3.448367428996255E-4</v>
      </c>
      <c r="M6">
        <v>403</v>
      </c>
      <c r="N6" s="13">
        <f>Messdaten!Z6-Messdaten!L6</f>
        <v>977.90838999999994</v>
      </c>
      <c r="O6">
        <f t="shared" si="6"/>
        <v>1.8536952142417613E-3</v>
      </c>
      <c r="P6">
        <f t="shared" si="7"/>
        <v>355.48180015703696</v>
      </c>
      <c r="Q6">
        <v>483</v>
      </c>
      <c r="R6">
        <f>Messdaten!AE6-Messdaten!C6</f>
        <v>1507.9783199999999</v>
      </c>
      <c r="S6">
        <f t="shared" si="8"/>
        <v>1.6005187013775426E-2</v>
      </c>
      <c r="U6">
        <v>483</v>
      </c>
      <c r="V6">
        <f>Messdaten!AH6-Messdaten!C6</f>
        <v>1640.44442</v>
      </c>
      <c r="W6">
        <f t="shared" si="9"/>
        <v>2.1346572763332686E-2</v>
      </c>
      <c r="Y6" s="14">
        <f>A6</f>
        <v>483</v>
      </c>
      <c r="Z6">
        <f>D6*P86*Y6^4</f>
        <v>14329361423.533657</v>
      </c>
      <c r="AA6">
        <f>(Z6+Z7)/2*(Y7-Y6)</f>
        <v>17053563664.475851</v>
      </c>
    </row>
    <row r="7" spans="1:31" x14ac:dyDescent="0.2">
      <c r="A7">
        <v>484</v>
      </c>
      <c r="B7" s="13">
        <f>Messdaten!Q7-Messdaten!C7</f>
        <v>2224.4969899999996</v>
      </c>
      <c r="C7">
        <f t="shared" si="0"/>
        <v>2.4933177430077513E-2</v>
      </c>
      <c r="D7">
        <f t="shared" si="1"/>
        <v>3.7293216701522942E-4</v>
      </c>
      <c r="E7">
        <v>404</v>
      </c>
      <c r="F7" s="13">
        <f>Messdaten!T7-Messdaten!I7</f>
        <v>2552.4942000000001</v>
      </c>
      <c r="G7">
        <f t="shared" si="2"/>
        <v>9.7544651538145869E-4</v>
      </c>
      <c r="H7">
        <f t="shared" si="3"/>
        <v>709.68395092493006</v>
      </c>
      <c r="I7">
        <v>624</v>
      </c>
      <c r="J7" s="13">
        <f>Messdaten!W7-Messdaten!F7</f>
        <v>2469.8959500000001</v>
      </c>
      <c r="K7">
        <f t="shared" si="4"/>
        <v>9.6827817599999116E-3</v>
      </c>
      <c r="L7">
        <f t="shared" si="5"/>
        <v>3.8372359054485259E-4</v>
      </c>
      <c r="M7">
        <v>404</v>
      </c>
      <c r="N7" s="13">
        <f>Messdaten!Z7-Messdaten!L7</f>
        <v>949.82988</v>
      </c>
      <c r="O7">
        <f t="shared" si="6"/>
        <v>1.8128853240848568E-3</v>
      </c>
      <c r="P7">
        <f t="shared" si="7"/>
        <v>345.27491433562852</v>
      </c>
      <c r="Q7">
        <v>484</v>
      </c>
      <c r="R7">
        <f>Messdaten!AE7-Messdaten!C7</f>
        <v>2114.8338999999996</v>
      </c>
      <c r="S7">
        <f t="shared" si="8"/>
        <v>2.1886112619213888E-2</v>
      </c>
      <c r="U7">
        <v>484</v>
      </c>
      <c r="V7">
        <f>Messdaten!AH7-Messdaten!C7</f>
        <v>2147.4857099999999</v>
      </c>
      <c r="W7">
        <f t="shared" si="9"/>
        <v>2.640743561270141E-2</v>
      </c>
      <c r="Y7" s="14">
        <f>A7</f>
        <v>484</v>
      </c>
      <c r="Z7">
        <f>D7*P87*Y7^4</f>
        <v>19777765905.418045</v>
      </c>
      <c r="AA7">
        <f>(Z7+Z8)/2*(Y8-Y7)</f>
        <v>22315631159.566292</v>
      </c>
    </row>
    <row r="8" spans="1:31" x14ac:dyDescent="0.2">
      <c r="A8">
        <v>485</v>
      </c>
      <c r="B8" s="13">
        <f>Messdaten!Q8-Messdaten!C8</f>
        <v>2812.4347200000002</v>
      </c>
      <c r="C8">
        <f t="shared" si="0"/>
        <v>2.9800394585892766E-2</v>
      </c>
      <c r="D8">
        <f t="shared" si="1"/>
        <v>4.71498671130353E-4</v>
      </c>
      <c r="E8">
        <v>405</v>
      </c>
      <c r="F8" s="13">
        <f>Messdaten!T8-Messdaten!I8</f>
        <v>2892.4369799999999</v>
      </c>
      <c r="G8">
        <f t="shared" si="2"/>
        <v>2.318788869986333E-3</v>
      </c>
      <c r="H8">
        <f t="shared" si="3"/>
        <v>804.20010504539937</v>
      </c>
      <c r="I8">
        <v>625</v>
      </c>
      <c r="J8" s="13">
        <f>Messdaten!W8-Messdaten!F8</f>
        <v>2857.2322900000004</v>
      </c>
      <c r="K8">
        <f t="shared" si="4"/>
        <v>1.2540164141561849E-2</v>
      </c>
      <c r="L8">
        <f t="shared" si="5"/>
        <v>4.4390025148204786E-4</v>
      </c>
      <c r="M8">
        <v>405</v>
      </c>
      <c r="N8" s="13">
        <f>Messdaten!Z8-Messdaten!L8</f>
        <v>710.59646000000009</v>
      </c>
      <c r="O8">
        <f t="shared" si="6"/>
        <v>1.4651784980438507E-3</v>
      </c>
      <c r="P8">
        <f t="shared" si="7"/>
        <v>258.31060595156362</v>
      </c>
      <c r="Q8">
        <v>485</v>
      </c>
      <c r="R8">
        <f>Messdaten!AE8-Messdaten!C8</f>
        <v>2610.3010200000003</v>
      </c>
      <c r="S8">
        <f t="shared" si="8"/>
        <v>2.6687593183437844E-2</v>
      </c>
      <c r="U8">
        <v>485</v>
      </c>
      <c r="V8">
        <f>Messdaten!AH8-Messdaten!C8</f>
        <v>2573.3936600000002</v>
      </c>
      <c r="W8">
        <f t="shared" si="9"/>
        <v>3.0658493196997549E-2</v>
      </c>
      <c r="Y8" s="14">
        <f>A8</f>
        <v>485</v>
      </c>
      <c r="Z8">
        <f>D8*P88*Y8^4</f>
        <v>24853496413.714542</v>
      </c>
      <c r="AA8">
        <f>(Z8+Z9)/2*(Y9-Y8)</f>
        <v>28603599575.967007</v>
      </c>
    </row>
    <row r="9" spans="1:31" x14ac:dyDescent="0.2">
      <c r="A9">
        <v>486</v>
      </c>
      <c r="B9" s="13">
        <f>Messdaten!Q9-Messdaten!C9</f>
        <v>3761.0343200000002</v>
      </c>
      <c r="C9">
        <f t="shared" si="0"/>
        <v>3.7653335486827096E-2</v>
      </c>
      <c r="D9">
        <f t="shared" si="1"/>
        <v>6.3052936708008313E-4</v>
      </c>
      <c r="E9">
        <v>406</v>
      </c>
      <c r="F9" s="13">
        <f>Messdaten!T9-Messdaten!I9</f>
        <v>3243.1649399999997</v>
      </c>
      <c r="G9">
        <f t="shared" si="2"/>
        <v>3.7047507180719549E-3</v>
      </c>
      <c r="H9">
        <f t="shared" si="3"/>
        <v>901.71492186756507</v>
      </c>
      <c r="I9">
        <v>626</v>
      </c>
      <c r="J9" s="13">
        <f>Messdaten!W9-Messdaten!F9</f>
        <v>3389.7164899999998</v>
      </c>
      <c r="K9">
        <f t="shared" si="4"/>
        <v>1.6468303111275097E-2</v>
      </c>
      <c r="L9">
        <f t="shared" si="5"/>
        <v>5.2662711660865502E-4</v>
      </c>
      <c r="M9">
        <v>406</v>
      </c>
      <c r="N9" s="13">
        <f>Messdaten!Z9-Messdaten!L9</f>
        <v>606.06010000000003</v>
      </c>
      <c r="O9">
        <f t="shared" si="6"/>
        <v>1.3132431792180778E-3</v>
      </c>
      <c r="P9">
        <f t="shared" si="7"/>
        <v>220.31034558498254</v>
      </c>
      <c r="Q9">
        <v>486</v>
      </c>
      <c r="R9">
        <f>Messdaten!AE9-Messdaten!C9</f>
        <v>3579.0382299999997</v>
      </c>
      <c r="S9">
        <f t="shared" si="8"/>
        <v>3.6075446984221902E-2</v>
      </c>
      <c r="U9">
        <v>486</v>
      </c>
      <c r="V9">
        <f>Messdaten!AH9-Messdaten!C9</f>
        <v>3400.0951799999998</v>
      </c>
      <c r="W9">
        <f t="shared" si="9"/>
        <v>3.8909937591367592E-2</v>
      </c>
      <c r="Y9" s="14">
        <f>A9</f>
        <v>486</v>
      </c>
      <c r="Z9">
        <f>D9*P89*Y9^4</f>
        <v>32353702738.219471</v>
      </c>
      <c r="AA9">
        <f>(Z9+Z10)/2*(Y10-Y9)</f>
        <v>42313817790.165962</v>
      </c>
    </row>
    <row r="10" spans="1:31" x14ac:dyDescent="0.2">
      <c r="A10">
        <v>487</v>
      </c>
      <c r="B10" s="13">
        <f>Messdaten!Q10-Messdaten!C10</f>
        <v>4745.2704800000001</v>
      </c>
      <c r="C10">
        <f t="shared" si="0"/>
        <v>4.5801292113672114E-2</v>
      </c>
      <c r="D10">
        <f t="shared" si="1"/>
        <v>7.9553445616476121E-4</v>
      </c>
      <c r="E10">
        <v>407</v>
      </c>
      <c r="F10" s="13">
        <f>Messdaten!T10-Messdaten!I10</f>
        <v>3196.4040800000002</v>
      </c>
      <c r="G10">
        <f t="shared" si="2"/>
        <v>3.5199671383890799E-3</v>
      </c>
      <c r="H10">
        <f t="shared" si="3"/>
        <v>888.71374369703403</v>
      </c>
      <c r="I10">
        <v>627</v>
      </c>
      <c r="J10" s="13">
        <f>Messdaten!W10-Messdaten!F10</f>
        <v>4004.1900599999999</v>
      </c>
      <c r="K10">
        <f t="shared" si="4"/>
        <v>2.1001278129455587E-2</v>
      </c>
      <c r="L10">
        <f t="shared" si="5"/>
        <v>6.2209186870694228E-4</v>
      </c>
      <c r="M10">
        <v>407</v>
      </c>
      <c r="N10" s="13">
        <f>Messdaten!Z10-Messdaten!L10</f>
        <v>348.0319199999999</v>
      </c>
      <c r="O10">
        <f t="shared" si="6"/>
        <v>9.3821965826963553E-4</v>
      </c>
      <c r="P10">
        <f t="shared" si="7"/>
        <v>126.51390937929251</v>
      </c>
      <c r="Q10">
        <v>487</v>
      </c>
      <c r="R10">
        <f>Messdaten!AE10-Messdaten!C10</f>
        <v>4405.8423200000007</v>
      </c>
      <c r="S10">
        <f t="shared" si="8"/>
        <v>4.4087853071947507E-2</v>
      </c>
      <c r="U10">
        <v>487</v>
      </c>
      <c r="V10">
        <f>Messdaten!AH10-Messdaten!C10</f>
        <v>4215.8155300000008</v>
      </c>
      <c r="W10">
        <f t="shared" si="9"/>
        <v>4.7051777114513839E-2</v>
      </c>
      <c r="Y10" s="14">
        <f>A10</f>
        <v>487</v>
      </c>
      <c r="Z10">
        <f>D10*P90*Y10^4</f>
        <v>52273932842.11245</v>
      </c>
      <c r="AA10">
        <f>(Z10+Z11)/2*(Y11-Y10)</f>
        <v>56828539320.484787</v>
      </c>
    </row>
    <row r="11" spans="1:31" x14ac:dyDescent="0.2">
      <c r="A11">
        <v>488</v>
      </c>
      <c r="B11" s="13">
        <f>Messdaten!Q11-Messdaten!C11</f>
        <v>5763.2833100000007</v>
      </c>
      <c r="C11">
        <f t="shared" si="0"/>
        <v>5.4228867447230031E-2</v>
      </c>
      <c r="D11">
        <f t="shared" si="1"/>
        <v>9.6620213180014457E-4</v>
      </c>
      <c r="E11">
        <v>408</v>
      </c>
      <c r="F11" s="13">
        <f>Messdaten!T11-Messdaten!I11</f>
        <v>3400.3848600000001</v>
      </c>
      <c r="G11">
        <f t="shared" si="2"/>
        <v>4.3260322688187915E-3</v>
      </c>
      <c r="H11">
        <f t="shared" si="3"/>
        <v>945.42763784149429</v>
      </c>
      <c r="I11">
        <v>628</v>
      </c>
      <c r="J11" s="13">
        <f>Messdaten!W11-Messdaten!F11</f>
        <v>4973.14563</v>
      </c>
      <c r="K11">
        <f t="shared" si="4"/>
        <v>2.8149268876294112E-2</v>
      </c>
      <c r="L11">
        <f t="shared" si="5"/>
        <v>7.7262902408744899E-4</v>
      </c>
      <c r="M11">
        <v>408</v>
      </c>
      <c r="N11" s="13">
        <f>Messdaten!Z11-Messdaten!L11</f>
        <v>870.96759999999995</v>
      </c>
      <c r="O11">
        <f t="shared" si="6"/>
        <v>1.6982652468683997E-3</v>
      </c>
      <c r="P11">
        <f t="shared" si="7"/>
        <v>316.60749973364494</v>
      </c>
      <c r="Q11">
        <v>488</v>
      </c>
      <c r="R11">
        <f>Messdaten!AE11-Messdaten!C11</f>
        <v>5478.2713999999996</v>
      </c>
      <c r="S11">
        <f t="shared" si="8"/>
        <v>5.4480565678444115E-2</v>
      </c>
      <c r="U11">
        <v>488</v>
      </c>
      <c r="V11">
        <f>Messdaten!AH11-Messdaten!C11</f>
        <v>5170.3202999999994</v>
      </c>
      <c r="W11">
        <f t="shared" si="9"/>
        <v>5.6578846852834826E-2</v>
      </c>
      <c r="Y11" s="14">
        <f>A11</f>
        <v>488</v>
      </c>
      <c r="Z11">
        <f>D11*P91*Y11^4</f>
        <v>61383145798.857124</v>
      </c>
      <c r="AA11">
        <f>(Z11+Z12)/2*(Y12-Y11)</f>
        <v>70613269948.195724</v>
      </c>
      <c r="AC11" s="18"/>
    </row>
    <row r="12" spans="1:31" x14ac:dyDescent="0.2">
      <c r="A12">
        <v>489</v>
      </c>
      <c r="B12" s="13">
        <f>Messdaten!Q12-Messdaten!C12</f>
        <v>7277.4691499999999</v>
      </c>
      <c r="C12">
        <f t="shared" si="0"/>
        <v>6.6763989657435047E-2</v>
      </c>
      <c r="D12">
        <f t="shared" si="1"/>
        <v>1.2200521523276955E-3</v>
      </c>
      <c r="E12">
        <v>409</v>
      </c>
      <c r="F12" s="13">
        <f>Messdaten!T12-Messdaten!I12</f>
        <v>3622.3747100000001</v>
      </c>
      <c r="G12">
        <f t="shared" si="2"/>
        <v>5.2032633363454589E-3</v>
      </c>
      <c r="H12">
        <f t="shared" si="3"/>
        <v>1007.1486924136194</v>
      </c>
      <c r="I12">
        <v>629</v>
      </c>
      <c r="J12" s="13">
        <f>Messdaten!W12-Messdaten!F12</f>
        <v>5553.4645900000005</v>
      </c>
      <c r="K12">
        <f t="shared" si="4"/>
        <v>3.2430285142390776E-2</v>
      </c>
      <c r="L12">
        <f t="shared" si="5"/>
        <v>8.6278750829098597E-4</v>
      </c>
      <c r="M12">
        <v>409</v>
      </c>
      <c r="N12" s="13">
        <f>Messdaten!Z12-Messdaten!L12</f>
        <v>590.02640999999994</v>
      </c>
      <c r="O12">
        <f t="shared" si="6"/>
        <v>1.2899394808484042E-3</v>
      </c>
      <c r="P12">
        <f t="shared" si="7"/>
        <v>214.48190087314208</v>
      </c>
      <c r="Q12">
        <v>489</v>
      </c>
      <c r="R12">
        <f>Messdaten!AE12-Messdaten!C12</f>
        <v>6633.7977200000005</v>
      </c>
      <c r="S12">
        <f t="shared" si="8"/>
        <v>6.5678558326128234E-2</v>
      </c>
      <c r="U12">
        <v>489</v>
      </c>
      <c r="V12">
        <f>Messdaten!AH12-Messdaten!C12</f>
        <v>6554.3831100000007</v>
      </c>
      <c r="W12">
        <f t="shared" si="9"/>
        <v>7.0393406326525604E-2</v>
      </c>
      <c r="Y12" s="14">
        <f>A12</f>
        <v>489</v>
      </c>
      <c r="Z12">
        <f>D12*P92*Y12^4</f>
        <v>79843394097.534317</v>
      </c>
      <c r="AA12">
        <f>(Z12+Z13)/2*(Y13-Y12)</f>
        <v>86503171535.879913</v>
      </c>
      <c r="AC12" s="18"/>
    </row>
    <row r="13" spans="1:31" x14ac:dyDescent="0.2">
      <c r="A13">
        <v>490</v>
      </c>
      <c r="B13" s="13">
        <f>Messdaten!Q13-Messdaten!C13</f>
        <v>8964.9332299999987</v>
      </c>
      <c r="C13">
        <f t="shared" si="0"/>
        <v>8.0733588308635723E-2</v>
      </c>
      <c r="D13">
        <f t="shared" si="1"/>
        <v>1.5029518995261666E-3</v>
      </c>
      <c r="E13">
        <v>410</v>
      </c>
      <c r="F13" s="13">
        <f>Messdaten!T13-Messdaten!I13</f>
        <v>3847.9420299999997</v>
      </c>
      <c r="G13">
        <f t="shared" si="2"/>
        <v>6.0946313917891156E-3</v>
      </c>
      <c r="H13">
        <f t="shared" si="3"/>
        <v>1069.8644105755441</v>
      </c>
      <c r="I13">
        <v>630</v>
      </c>
      <c r="J13" s="13">
        <f>Messdaten!W13-Messdaten!F13</f>
        <v>6805.62039</v>
      </c>
      <c r="K13">
        <f t="shared" si="4"/>
        <v>4.166744559547552E-2</v>
      </c>
      <c r="L13">
        <f t="shared" si="5"/>
        <v>1.0573227151273558E-3</v>
      </c>
      <c r="M13">
        <v>410</v>
      </c>
      <c r="N13" s="13">
        <f>Messdaten!Z13-Messdaten!L13</f>
        <v>145.85345000000007</v>
      </c>
      <c r="O13">
        <f t="shared" si="6"/>
        <v>6.4436926689234915E-4</v>
      </c>
      <c r="P13">
        <f t="shared" si="7"/>
        <v>53.019533828843024</v>
      </c>
      <c r="Q13">
        <v>490</v>
      </c>
      <c r="R13">
        <f>Messdaten!AE13-Messdaten!C13</f>
        <v>8308.6704099999988</v>
      </c>
      <c r="S13">
        <f t="shared" si="8"/>
        <v>8.1909440949751111E-2</v>
      </c>
      <c r="U13">
        <v>490</v>
      </c>
      <c r="V13">
        <f>Messdaten!AH13-Messdaten!C13</f>
        <v>8000.1676299999999</v>
      </c>
      <c r="W13">
        <f t="shared" si="9"/>
        <v>8.4824020380581053E-2</v>
      </c>
      <c r="Y13" s="14">
        <f>A13</f>
        <v>490</v>
      </c>
      <c r="Z13">
        <f>D13*P93*Y13^4</f>
        <v>93162948974.22551</v>
      </c>
      <c r="AA13">
        <f>(Z13+Z14)/2*(Y14-Y13)</f>
        <v>115946441904.15579</v>
      </c>
    </row>
    <row r="14" spans="1:31" x14ac:dyDescent="0.2">
      <c r="A14">
        <v>491</v>
      </c>
      <c r="B14" s="13">
        <f>Messdaten!Q14-Messdaten!C14</f>
        <v>10771.939979999999</v>
      </c>
      <c r="C14">
        <f t="shared" si="0"/>
        <v>9.5692815800761388E-2</v>
      </c>
      <c r="D14">
        <f t="shared" si="1"/>
        <v>1.8058927199085071E-3</v>
      </c>
      <c r="E14">
        <v>411</v>
      </c>
      <c r="F14" s="13">
        <f>Messdaten!T14-Messdaten!I14</f>
        <v>4059.5203899999997</v>
      </c>
      <c r="G14">
        <f t="shared" si="2"/>
        <v>6.9307196661329267E-3</v>
      </c>
      <c r="H14">
        <f t="shared" si="3"/>
        <v>1128.6907015246154</v>
      </c>
      <c r="I14">
        <v>631</v>
      </c>
      <c r="J14" s="13">
        <f>Messdaten!W14-Messdaten!F14</f>
        <v>7840.2650199999998</v>
      </c>
      <c r="K14">
        <f t="shared" si="4"/>
        <v>4.9300024911270328E-2</v>
      </c>
      <c r="L14">
        <f t="shared" si="5"/>
        <v>1.2180653376501994E-3</v>
      </c>
      <c r="M14">
        <v>411</v>
      </c>
      <c r="N14" s="13">
        <f>Messdaten!Z14-Messdaten!L14</f>
        <v>601.83340999999984</v>
      </c>
      <c r="O14">
        <f t="shared" si="6"/>
        <v>1.3071000201036057E-3</v>
      </c>
      <c r="P14">
        <f t="shared" si="7"/>
        <v>218.7738914699853</v>
      </c>
      <c r="Q14">
        <v>491</v>
      </c>
      <c r="R14">
        <f>Messdaten!AE14-Messdaten!C14</f>
        <v>9960.1508199999989</v>
      </c>
      <c r="S14">
        <f t="shared" si="8"/>
        <v>9.7913633298199187E-2</v>
      </c>
      <c r="U14">
        <v>491</v>
      </c>
      <c r="V14">
        <f>Messdaten!AH14-Messdaten!C14</f>
        <v>9528.4078599999993</v>
      </c>
      <c r="W14">
        <f t="shared" si="9"/>
        <v>0.10007763849305808</v>
      </c>
      <c r="Y14" s="14">
        <f>A14</f>
        <v>491</v>
      </c>
      <c r="Z14">
        <f>D14*P94*Y14^4</f>
        <v>138729934834.08606</v>
      </c>
      <c r="AA14">
        <f>(Z14+Z15)/2*(Y15-Y14)</f>
        <v>151823495869.73605</v>
      </c>
    </row>
    <row r="15" spans="1:31" x14ac:dyDescent="0.2">
      <c r="A15">
        <v>492</v>
      </c>
      <c r="B15" s="13">
        <f>Messdaten!Q15-Messdaten!C15</f>
        <v>13147.007450000001</v>
      </c>
      <c r="C15">
        <f t="shared" si="0"/>
        <v>0.11535470947817977</v>
      </c>
      <c r="D15">
        <f t="shared" si="1"/>
        <v>2.2040677061531408E-3</v>
      </c>
      <c r="E15">
        <v>412</v>
      </c>
      <c r="F15" s="13">
        <f>Messdaten!T15-Messdaten!I15</f>
        <v>4350.5887899999998</v>
      </c>
      <c r="G15">
        <f t="shared" si="2"/>
        <v>8.0809265033161548E-3</v>
      </c>
      <c r="H15">
        <f t="shared" si="3"/>
        <v>1209.6180439261764</v>
      </c>
      <c r="I15">
        <v>632</v>
      </c>
      <c r="J15" s="13">
        <f>Messdaten!W15-Messdaten!F15</f>
        <v>9249.2223000000013</v>
      </c>
      <c r="K15">
        <f t="shared" si="4"/>
        <v>5.969391077347843E-2</v>
      </c>
      <c r="L15">
        <f t="shared" si="5"/>
        <v>1.4369612577013698E-3</v>
      </c>
      <c r="M15">
        <v>412</v>
      </c>
      <c r="N15" s="13">
        <f>Messdaten!Z15-Messdaten!L15</f>
        <v>477.80066999999985</v>
      </c>
      <c r="O15">
        <f t="shared" si="6"/>
        <v>1.12682825727645E-3</v>
      </c>
      <c r="P15">
        <f t="shared" si="7"/>
        <v>173.6864557301102</v>
      </c>
      <c r="Q15">
        <v>492</v>
      </c>
      <c r="R15">
        <f>Messdaten!AE15-Messdaten!C15</f>
        <v>12101.797330000001</v>
      </c>
      <c r="S15">
        <f t="shared" si="8"/>
        <v>0.11866793500282706</v>
      </c>
      <c r="U15">
        <v>492</v>
      </c>
      <c r="V15">
        <f>Messdaten!AH15-Messdaten!C15</f>
        <v>11578.048490000001</v>
      </c>
      <c r="W15">
        <f t="shared" si="9"/>
        <v>0.12053544010310786</v>
      </c>
      <c r="Y15" s="14">
        <f>A15</f>
        <v>492</v>
      </c>
      <c r="Z15">
        <f>D15*P95*Y15^4</f>
        <v>164917056905.38605</v>
      </c>
      <c r="AA15">
        <f>(Z15+Z16)/2*(Y16-Y15)</f>
        <v>189341046868.51215</v>
      </c>
    </row>
    <row r="16" spans="1:31" x14ac:dyDescent="0.2">
      <c r="A16">
        <v>493</v>
      </c>
      <c r="B16" s="13">
        <f>Messdaten!Q16-Messdaten!C16</f>
        <v>15710.89264</v>
      </c>
      <c r="C16">
        <f t="shared" si="0"/>
        <v>0.1365797225119727</v>
      </c>
      <c r="D16">
        <f t="shared" si="1"/>
        <v>2.6338975796855626E-3</v>
      </c>
      <c r="E16">
        <v>413</v>
      </c>
      <c r="F16" s="13">
        <f>Messdaten!T16-Messdaten!I16</f>
        <v>4632.7360399999998</v>
      </c>
      <c r="G16">
        <f t="shared" si="2"/>
        <v>9.1958798821179938E-3</v>
      </c>
      <c r="H16">
        <f t="shared" si="3"/>
        <v>1288.0649901024317</v>
      </c>
      <c r="I16">
        <v>633</v>
      </c>
      <c r="J16" s="13">
        <f>Messdaten!W16-Messdaten!F16</f>
        <v>10593.350460000001</v>
      </c>
      <c r="K16">
        <f t="shared" si="4"/>
        <v>6.96095518489976E-2</v>
      </c>
      <c r="L16">
        <f t="shared" si="5"/>
        <v>1.6457853110820988E-3</v>
      </c>
      <c r="M16">
        <v>413</v>
      </c>
      <c r="N16" s="13">
        <f>Messdaten!Z16-Messdaten!L16</f>
        <v>324.04103999999995</v>
      </c>
      <c r="O16">
        <f t="shared" si="6"/>
        <v>9.033508145322905E-4</v>
      </c>
      <c r="P16">
        <f t="shared" si="7"/>
        <v>117.79292764218785</v>
      </c>
      <c r="Q16">
        <v>493</v>
      </c>
      <c r="R16">
        <f>Messdaten!AE16-Messdaten!C16</f>
        <v>14661.893959999999</v>
      </c>
      <c r="S16">
        <f t="shared" si="8"/>
        <v>0.14347735971597497</v>
      </c>
      <c r="U16">
        <v>493</v>
      </c>
      <c r="V16">
        <f>Messdaten!AH16-Messdaten!C16</f>
        <v>13902.946250000001</v>
      </c>
      <c r="W16">
        <f t="shared" si="9"/>
        <v>0.14374062858423645</v>
      </c>
      <c r="Y16" s="14">
        <f>A16</f>
        <v>493</v>
      </c>
      <c r="Z16">
        <f>D16*P96*Y16^4</f>
        <v>213765036831.63821</v>
      </c>
      <c r="AA16">
        <f>(Z16+Z17)/2*(Y17-Y16)</f>
        <v>233722936012.02521</v>
      </c>
    </row>
    <row r="17" spans="1:27" x14ac:dyDescent="0.2">
      <c r="A17">
        <v>494</v>
      </c>
      <c r="B17" s="13">
        <f>Messdaten!Q17-Messdaten!C17</f>
        <v>18824.715950000002</v>
      </c>
      <c r="C17">
        <f t="shared" si="0"/>
        <v>0.1623573745681002</v>
      </c>
      <c r="D17">
        <f t="shared" si="1"/>
        <v>3.1559234039150821E-3</v>
      </c>
      <c r="E17">
        <v>414</v>
      </c>
      <c r="F17" s="13">
        <f>Messdaten!T17-Messdaten!I17</f>
        <v>5064.4831999999997</v>
      </c>
      <c r="G17">
        <f t="shared" si="2"/>
        <v>1.0902003031750316E-2</v>
      </c>
      <c r="H17">
        <f t="shared" si="3"/>
        <v>1408.1060191121812</v>
      </c>
      <c r="I17">
        <v>634</v>
      </c>
      <c r="J17" s="13">
        <f>Messdaten!W17-Messdaten!F17</f>
        <v>12925.178800000002</v>
      </c>
      <c r="K17">
        <f t="shared" si="4"/>
        <v>8.6811462765858147E-2</v>
      </c>
      <c r="L17">
        <f t="shared" si="5"/>
        <v>2.0080586866706709E-3</v>
      </c>
      <c r="M17">
        <v>414</v>
      </c>
      <c r="N17" s="13">
        <f>Messdaten!Z17-Messdaten!L17</f>
        <v>432.22703999999999</v>
      </c>
      <c r="O17">
        <f t="shared" si="6"/>
        <v>1.0605905960062681E-3</v>
      </c>
      <c r="P17">
        <f t="shared" si="7"/>
        <v>157.11987730849475</v>
      </c>
      <c r="Q17">
        <v>494</v>
      </c>
      <c r="R17">
        <f>Messdaten!AE17-Messdaten!C17</f>
        <v>17438.64345</v>
      </c>
      <c r="S17">
        <f t="shared" si="8"/>
        <v>0.17038632737452264</v>
      </c>
      <c r="U17">
        <v>494</v>
      </c>
      <c r="V17">
        <f>Messdaten!AH17-Messdaten!C17</f>
        <v>16666.11335</v>
      </c>
      <c r="W17">
        <f t="shared" si="9"/>
        <v>0.17132025572463741</v>
      </c>
      <c r="Y17" s="14">
        <f>A17</f>
        <v>494</v>
      </c>
      <c r="Z17">
        <f>D17*P97*Y17^4</f>
        <v>253680835192.41223</v>
      </c>
      <c r="AA17">
        <f>(Z17+Z18)/2*(Y18-Y17)</f>
        <v>300112776955.32336</v>
      </c>
    </row>
    <row r="18" spans="1:27" x14ac:dyDescent="0.2">
      <c r="A18">
        <v>495</v>
      </c>
      <c r="B18" s="13">
        <f>Messdaten!Q18-Messdaten!C18</f>
        <v>22576.504720000001</v>
      </c>
      <c r="C18">
        <f t="shared" si="0"/>
        <v>0.19341639618649334</v>
      </c>
      <c r="D18">
        <f t="shared" si="1"/>
        <v>3.7849027742937772E-3</v>
      </c>
      <c r="E18">
        <v>415</v>
      </c>
      <c r="F18" s="13">
        <f>Messdaten!T18-Messdaten!I18</f>
        <v>5322.9007000000001</v>
      </c>
      <c r="G18">
        <f t="shared" si="2"/>
        <v>1.1923184222658697E-2</v>
      </c>
      <c r="H18">
        <f t="shared" si="3"/>
        <v>1479.955252849184</v>
      </c>
      <c r="I18">
        <v>635</v>
      </c>
      <c r="J18" s="13">
        <f>Messdaten!W18-Messdaten!F18</f>
        <v>14905.50426</v>
      </c>
      <c r="K18">
        <f t="shared" si="4"/>
        <v>0.10142033493923215</v>
      </c>
      <c r="L18">
        <f t="shared" si="5"/>
        <v>2.315722495730557E-3</v>
      </c>
      <c r="M18">
        <v>415</v>
      </c>
      <c r="N18" s="13">
        <f>Messdaten!Z18-Messdaten!L18</f>
        <v>324.45421999999996</v>
      </c>
      <c r="O18">
        <f t="shared" si="6"/>
        <v>9.0395133893387126E-4</v>
      </c>
      <c r="P18">
        <f t="shared" si="7"/>
        <v>117.94312368477308</v>
      </c>
      <c r="Q18">
        <v>495</v>
      </c>
      <c r="R18">
        <f>Messdaten!AE18-Messdaten!C18</f>
        <v>20414.938740000001</v>
      </c>
      <c r="S18">
        <f t="shared" si="8"/>
        <v>0.1992290566121889</v>
      </c>
      <c r="U18">
        <v>495</v>
      </c>
      <c r="V18">
        <f>Messdaten!AH18-Messdaten!C18</f>
        <v>19757.2955</v>
      </c>
      <c r="W18">
        <f t="shared" si="9"/>
        <v>0.20217385524819251</v>
      </c>
      <c r="Y18" s="14">
        <f>A18</f>
        <v>495</v>
      </c>
      <c r="Z18">
        <f>D18*P98*Y18^4</f>
        <v>346544718718.2345</v>
      </c>
      <c r="AA18">
        <f>(Z18+Z19)/2*(Y19-Y18)</f>
        <v>365389914355.59412</v>
      </c>
    </row>
    <row r="19" spans="1:27" x14ac:dyDescent="0.2">
      <c r="A19">
        <v>496</v>
      </c>
      <c r="B19" s="13">
        <f>Messdaten!Q19-Messdaten!C19</f>
        <v>26067.8387</v>
      </c>
      <c r="C19">
        <f t="shared" si="0"/>
        <v>0.22231925405230291</v>
      </c>
      <c r="D19">
        <f t="shared" si="1"/>
        <v>4.3702174556749847E-3</v>
      </c>
      <c r="E19">
        <v>416</v>
      </c>
      <c r="F19" s="13">
        <f>Messdaten!T19-Messdaten!I19</f>
        <v>6154.5964000000004</v>
      </c>
      <c r="G19">
        <f t="shared" si="2"/>
        <v>1.520977280663377E-2</v>
      </c>
      <c r="H19">
        <f t="shared" si="3"/>
        <v>1711.1961662832969</v>
      </c>
      <c r="I19">
        <v>636</v>
      </c>
      <c r="J19" s="13">
        <f>Messdaten!W19-Messdaten!F19</f>
        <v>16981.27579</v>
      </c>
      <c r="K19">
        <f t="shared" si="4"/>
        <v>0.116733313313453</v>
      </c>
      <c r="L19">
        <f t="shared" si="5"/>
        <v>2.6382148277020244E-3</v>
      </c>
      <c r="M19">
        <v>416</v>
      </c>
      <c r="N19" s="13">
        <f>Messdaten!Z19-Messdaten!L19</f>
        <v>446.14209999999997</v>
      </c>
      <c r="O19">
        <f t="shared" si="6"/>
        <v>1.0808150334898363E-3</v>
      </c>
      <c r="P19">
        <f t="shared" si="7"/>
        <v>162.17817379994133</v>
      </c>
      <c r="Q19">
        <v>496</v>
      </c>
      <c r="R19">
        <f>Messdaten!AE19-Messdaten!C19</f>
        <v>24205.245339999998</v>
      </c>
      <c r="S19">
        <f t="shared" si="8"/>
        <v>0.2359602194638222</v>
      </c>
      <c r="U19">
        <v>496</v>
      </c>
      <c r="V19">
        <f>Messdaten!AH19-Messdaten!C19</f>
        <v>23506.266009999999</v>
      </c>
      <c r="W19">
        <f t="shared" si="9"/>
        <v>0.23959294902147854</v>
      </c>
      <c r="Y19" s="14">
        <f>A19</f>
        <v>496</v>
      </c>
      <c r="Z19">
        <f>D19*P99*Y19^4</f>
        <v>384235109992.95367</v>
      </c>
      <c r="AA19">
        <f>(Z19+Z20)/2*(Y20-Y19)</f>
        <v>478275436424.01563</v>
      </c>
    </row>
    <row r="20" spans="1:27" x14ac:dyDescent="0.2">
      <c r="A20">
        <v>497</v>
      </c>
      <c r="B20" s="13">
        <f>Messdaten!Q20-Messdaten!C20</f>
        <v>30621.404129999999</v>
      </c>
      <c r="C20">
        <f t="shared" si="0"/>
        <v>0.26001574919137699</v>
      </c>
      <c r="D20">
        <f t="shared" si="1"/>
        <v>5.1336129698471731E-3</v>
      </c>
      <c r="E20">
        <v>417</v>
      </c>
      <c r="F20" s="13">
        <f>Messdaten!T20-Messdaten!I20</f>
        <v>6552.2365600000003</v>
      </c>
      <c r="G20">
        <f t="shared" si="2"/>
        <v>1.6781116280437977E-2</v>
      </c>
      <c r="H20">
        <f t="shared" si="3"/>
        <v>1821.7542391655863</v>
      </c>
      <c r="I20">
        <v>637</v>
      </c>
      <c r="J20" s="13">
        <f>Messdaten!W20-Messdaten!F20</f>
        <v>20229.539550000001</v>
      </c>
      <c r="K20">
        <f t="shared" si="4"/>
        <v>0.14069577353210982</v>
      </c>
      <c r="L20">
        <f t="shared" si="5"/>
        <v>3.1428658163495113E-3</v>
      </c>
      <c r="M20">
        <v>417</v>
      </c>
      <c r="N20" s="13">
        <f>Messdaten!Z20-Messdaten!L20</f>
        <v>130.52671999999995</v>
      </c>
      <c r="O20">
        <f t="shared" si="6"/>
        <v>6.2209307888363562E-4</v>
      </c>
      <c r="P20">
        <f t="shared" si="7"/>
        <v>47.448077824747479</v>
      </c>
      <c r="Q20">
        <v>497</v>
      </c>
      <c r="R20">
        <f>Messdaten!AE20-Messdaten!C20</f>
        <v>28054.46702</v>
      </c>
      <c r="S20">
        <f t="shared" si="8"/>
        <v>0.27326231749993302</v>
      </c>
      <c r="U20">
        <v>497</v>
      </c>
      <c r="V20">
        <f>Messdaten!AH20-Messdaten!C20</f>
        <v>27196.057049999999</v>
      </c>
      <c r="W20">
        <f t="shared" si="9"/>
        <v>0.27642136273167089</v>
      </c>
      <c r="Y20" s="14">
        <f>A20</f>
        <v>497</v>
      </c>
      <c r="Z20">
        <f>D20*P100*Y20^4</f>
        <v>572315762855.07764</v>
      </c>
      <c r="AA20">
        <f>(Z20+Z21)/2*(Y21-Y20)</f>
        <v>616603222034.25659</v>
      </c>
    </row>
    <row r="21" spans="1:27" x14ac:dyDescent="0.2">
      <c r="A21">
        <v>498</v>
      </c>
      <c r="B21" s="13">
        <f>Messdaten!Q21-Messdaten!C21</f>
        <v>35362.887549999999</v>
      </c>
      <c r="C21">
        <f t="shared" si="0"/>
        <v>0.29926791531080182</v>
      </c>
      <c r="D21">
        <f t="shared" si="1"/>
        <v>5.9285125334952145E-3</v>
      </c>
      <c r="E21">
        <v>418</v>
      </c>
      <c r="F21" s="13">
        <f>Messdaten!T21-Messdaten!I21</f>
        <v>6867.0826699999998</v>
      </c>
      <c r="G21">
        <f t="shared" si="2"/>
        <v>1.802528482770227E-2</v>
      </c>
      <c r="H21">
        <f t="shared" si="3"/>
        <v>1909.2926285880362</v>
      </c>
      <c r="I21">
        <v>638</v>
      </c>
      <c r="J21" s="13">
        <f>Messdaten!W21-Messdaten!F21</f>
        <v>22775.107800000002</v>
      </c>
      <c r="K21">
        <f t="shared" si="4"/>
        <v>0.15947444497980678</v>
      </c>
      <c r="L21">
        <f t="shared" si="5"/>
        <v>3.5383458724494361E-3</v>
      </c>
      <c r="M21">
        <v>418</v>
      </c>
      <c r="N21" s="13">
        <f>Messdaten!Z21-Messdaten!L21</f>
        <v>3.1943499999999858</v>
      </c>
      <c r="O21">
        <f t="shared" si="6"/>
        <v>4.3702556521861747E-4</v>
      </c>
      <c r="P21">
        <f t="shared" si="7"/>
        <v>1.1611857510820889</v>
      </c>
      <c r="Q21">
        <v>498</v>
      </c>
      <c r="R21">
        <f>Messdaten!AE21-Messdaten!C21</f>
        <v>32392.409479999995</v>
      </c>
      <c r="S21">
        <f t="shared" si="8"/>
        <v>0.31530051856242086</v>
      </c>
      <c r="U21">
        <v>498</v>
      </c>
      <c r="V21">
        <f>Messdaten!AH21-Messdaten!C21</f>
        <v>31242.121499999997</v>
      </c>
      <c r="W21">
        <f t="shared" si="9"/>
        <v>0.31680580018282306</v>
      </c>
      <c r="Y21" s="14">
        <f>A21</f>
        <v>498</v>
      </c>
      <c r="Z21">
        <f>D21*P101*Y21^4</f>
        <v>660890681213.43567</v>
      </c>
      <c r="AA21">
        <f>(Z21+Z22)/2*(Y22-Y21)</f>
        <v>729336022505.93481</v>
      </c>
    </row>
    <row r="22" spans="1:27" x14ac:dyDescent="0.2">
      <c r="A22">
        <v>499</v>
      </c>
      <c r="B22" s="13">
        <f>Messdaten!Q22-Messdaten!C22</f>
        <v>40441.361989999998</v>
      </c>
      <c r="C22">
        <f t="shared" si="0"/>
        <v>0.34130984706390977</v>
      </c>
      <c r="D22">
        <f t="shared" si="1"/>
        <v>6.7799079215557995E-3</v>
      </c>
      <c r="E22">
        <v>419</v>
      </c>
      <c r="F22" s="13">
        <f>Messdaten!T22-Messdaten!I22</f>
        <v>7201.1320500000002</v>
      </c>
      <c r="G22">
        <f t="shared" si="2"/>
        <v>1.9345338398728248E-2</v>
      </c>
      <c r="H22">
        <f t="shared" si="3"/>
        <v>2002.1702084087558</v>
      </c>
      <c r="I22">
        <v>639</v>
      </c>
      <c r="J22" s="13">
        <f>Messdaten!W22-Messdaten!F22</f>
        <v>25484.629070000003</v>
      </c>
      <c r="K22">
        <f t="shared" si="4"/>
        <v>0.17946259878785206</v>
      </c>
      <c r="L22">
        <f t="shared" si="5"/>
        <v>3.9592977066277334E-3</v>
      </c>
      <c r="M22">
        <v>419</v>
      </c>
      <c r="N22" s="13">
        <f>Messdaten!Z22-Messdaten!L22</f>
        <v>75.31722000000002</v>
      </c>
      <c r="O22">
        <f t="shared" si="6"/>
        <v>5.4185044383577778E-4</v>
      </c>
      <c r="P22">
        <f t="shared" si="7"/>
        <v>27.378741426304359</v>
      </c>
      <c r="Q22">
        <v>499</v>
      </c>
      <c r="R22">
        <f>Messdaten!AE22-Messdaten!C22</f>
        <v>37083.537959999994</v>
      </c>
      <c r="S22">
        <f t="shared" si="8"/>
        <v>0.36076138026601368</v>
      </c>
      <c r="U22">
        <v>499</v>
      </c>
      <c r="V22">
        <f>Messdaten!AH22-Messdaten!C22</f>
        <v>35546.47133</v>
      </c>
      <c r="W22">
        <f t="shared" si="9"/>
        <v>0.35976822666555308</v>
      </c>
      <c r="Y22" s="14">
        <f>A22</f>
        <v>499</v>
      </c>
      <c r="Z22">
        <f>D22*P102*Y22^4</f>
        <v>797781363798.43408</v>
      </c>
      <c r="AA22">
        <f>(Z22+Z23)/2*(Y23-Y22)</f>
        <v>833143744453.67908</v>
      </c>
    </row>
    <row r="23" spans="1:27" x14ac:dyDescent="0.2">
      <c r="A23">
        <v>500</v>
      </c>
      <c r="B23" s="13">
        <f>Messdaten!Q23-Messdaten!C23</f>
        <v>45885.518980000001</v>
      </c>
      <c r="C23">
        <f t="shared" si="0"/>
        <v>0.38637906604510958</v>
      </c>
      <c r="D23">
        <f t="shared" si="1"/>
        <v>7.6926092077246834E-3</v>
      </c>
      <c r="E23">
        <v>420</v>
      </c>
      <c r="F23" s="13">
        <f>Messdaten!T23-Messdaten!I23</f>
        <v>7439.1415699999998</v>
      </c>
      <c r="G23">
        <f t="shared" si="2"/>
        <v>2.0285873947137826E-2</v>
      </c>
      <c r="H23">
        <f t="shared" si="3"/>
        <v>2068.3452996239857</v>
      </c>
      <c r="I23">
        <v>640</v>
      </c>
      <c r="J23" s="13">
        <f>Messdaten!W23-Messdaten!F23</f>
        <v>30244.165710000001</v>
      </c>
      <c r="K23">
        <f t="shared" si="4"/>
        <v>0.21457372763141599</v>
      </c>
      <c r="L23">
        <f t="shared" si="5"/>
        <v>4.6987403899644885E-3</v>
      </c>
      <c r="M23">
        <v>420</v>
      </c>
      <c r="N23" s="13">
        <f>Messdaten!Z23-Messdaten!L23</f>
        <v>487.14469000000003</v>
      </c>
      <c r="O23">
        <f t="shared" si="6"/>
        <v>1.1404090501968694E-3</v>
      </c>
      <c r="P23">
        <f t="shared" si="7"/>
        <v>177.08312262065957</v>
      </c>
      <c r="Q23">
        <v>500</v>
      </c>
      <c r="R23">
        <f>Messdaten!AE23-Messdaten!C23</f>
        <v>42055.393259999997</v>
      </c>
      <c r="S23">
        <f t="shared" si="8"/>
        <v>0.40894271385497888</v>
      </c>
      <c r="U23">
        <v>500</v>
      </c>
      <c r="V23">
        <f>Messdaten!AH23-Messdaten!C23</f>
        <v>40783.987220000003</v>
      </c>
      <c r="W23">
        <f t="shared" si="9"/>
        <v>0.41204473769817412</v>
      </c>
      <c r="Y23" s="14">
        <f>A23</f>
        <v>500</v>
      </c>
      <c r="Z23">
        <f>D23*P103*Y23^4</f>
        <v>868506125108.92407</v>
      </c>
      <c r="AA23">
        <f>(Z23+Z24)/2*(Y24-Y23)</f>
        <v>947292899782.33105</v>
      </c>
    </row>
    <row r="24" spans="1:27" x14ac:dyDescent="0.2">
      <c r="A24">
        <v>501</v>
      </c>
      <c r="B24" s="13">
        <f>Messdaten!Q24-Messdaten!C24</f>
        <v>51965.070670000001</v>
      </c>
      <c r="C24">
        <f t="shared" si="0"/>
        <v>0.43670837266272294</v>
      </c>
      <c r="D24">
        <f t="shared" si="1"/>
        <v>8.7118330576220031E-3</v>
      </c>
      <c r="E24">
        <v>421</v>
      </c>
      <c r="F24" s="13">
        <f>Messdaten!T24-Messdaten!I24</f>
        <v>8325.9557999999997</v>
      </c>
      <c r="G24">
        <f t="shared" si="2"/>
        <v>2.3790272881056378E-2</v>
      </c>
      <c r="H24">
        <f t="shared" si="3"/>
        <v>2314.9111200214816</v>
      </c>
      <c r="I24">
        <v>641</v>
      </c>
      <c r="J24" s="13">
        <f>Messdaten!W24-Messdaten!F24</f>
        <v>34541.996959999997</v>
      </c>
      <c r="K24">
        <f t="shared" si="4"/>
        <v>0.24627885318889994</v>
      </c>
      <c r="L24">
        <f t="shared" si="5"/>
        <v>5.36645242002222E-3</v>
      </c>
      <c r="M24">
        <v>421</v>
      </c>
      <c r="N24" s="13">
        <f>Messdaten!Z24-Messdaten!L24</f>
        <v>-297.49322000000006</v>
      </c>
      <c r="O24">
        <f t="shared" si="6"/>
        <v>0</v>
      </c>
      <c r="P24">
        <f t="shared" si="7"/>
        <v>-108.14246657615186</v>
      </c>
      <c r="Q24">
        <v>501</v>
      </c>
      <c r="R24">
        <f>Messdaten!AE24-Messdaten!C24</f>
        <v>46992.125210000006</v>
      </c>
      <c r="S24">
        <f t="shared" si="8"/>
        <v>0.45678367353098814</v>
      </c>
      <c r="U24">
        <v>501</v>
      </c>
      <c r="V24">
        <f>Messdaten!AH24-Messdaten!C24</f>
        <v>45585.089870000003</v>
      </c>
      <c r="W24">
        <f t="shared" si="9"/>
        <v>0.45996533611214308</v>
      </c>
      <c r="Y24" s="14">
        <f>A24</f>
        <v>501</v>
      </c>
      <c r="Z24">
        <f>D24*P104*Y24^4</f>
        <v>1026079674455.738</v>
      </c>
      <c r="AA24">
        <f>(Z24+Z25)/2*(Y25-Y24)</f>
        <v>1141984942047.8696</v>
      </c>
    </row>
    <row r="25" spans="1:27" x14ac:dyDescent="0.2">
      <c r="A25">
        <v>502</v>
      </c>
      <c r="B25" s="13">
        <f>Messdaten!Q25-Messdaten!C25</f>
        <v>57859.319289999999</v>
      </c>
      <c r="C25">
        <f t="shared" si="0"/>
        <v>0.48550365580249411</v>
      </c>
      <c r="D25">
        <f t="shared" si="1"/>
        <v>9.699991243793846E-3</v>
      </c>
      <c r="E25">
        <v>422</v>
      </c>
      <c r="F25" s="13">
        <f>Messdaten!T25-Messdaten!I25</f>
        <v>9085.3914000000004</v>
      </c>
      <c r="G25">
        <f t="shared" si="2"/>
        <v>2.6791313253423654E-2</v>
      </c>
      <c r="H25">
        <f t="shared" si="3"/>
        <v>2526.0611618437292</v>
      </c>
      <c r="I25">
        <v>642</v>
      </c>
      <c r="J25" s="13">
        <f>Messdaten!W25-Messdaten!F25</f>
        <v>37899.069530000001</v>
      </c>
      <c r="K25">
        <f t="shared" si="4"/>
        <v>0.27104399661732925</v>
      </c>
      <c r="L25">
        <f t="shared" si="5"/>
        <v>5.888007969874447E-3</v>
      </c>
      <c r="M25">
        <v>422</v>
      </c>
      <c r="N25" s="13">
        <f>Messdaten!Z25-Messdaten!L25</f>
        <v>506.24123999999995</v>
      </c>
      <c r="O25">
        <f t="shared" si="6"/>
        <v>1.1681643729642042E-3</v>
      </c>
      <c r="P25">
        <f t="shared" si="7"/>
        <v>184.0249548415579</v>
      </c>
      <c r="Q25">
        <v>502</v>
      </c>
      <c r="R25">
        <f>Messdaten!AE25-Messdaten!C25</f>
        <v>52690.355889999999</v>
      </c>
      <c r="S25">
        <f t="shared" si="8"/>
        <v>0.51200417708425028</v>
      </c>
      <c r="U25">
        <v>502</v>
      </c>
      <c r="V25">
        <f>Messdaten!AH25-Messdaten!C25</f>
        <v>50915.12</v>
      </c>
      <c r="W25">
        <f t="shared" si="9"/>
        <v>0.51316524705220268</v>
      </c>
      <c r="Y25" s="14">
        <f>A25</f>
        <v>502</v>
      </c>
      <c r="Z25">
        <f>D25*P105*Y25^4</f>
        <v>1257890209640.0015</v>
      </c>
      <c r="AA25">
        <f>(Z25+Z26)/2*(Y26-Y25)</f>
        <v>1382390422475.7043</v>
      </c>
    </row>
    <row r="26" spans="1:27" x14ac:dyDescent="0.2">
      <c r="A26">
        <v>503</v>
      </c>
      <c r="B26" s="13">
        <f>Messdaten!Q26-Messdaten!C26</f>
        <v>63955.709280000003</v>
      </c>
      <c r="C26">
        <f t="shared" si="0"/>
        <v>0.53597235756087314</v>
      </c>
      <c r="D26">
        <f t="shared" si="1"/>
        <v>1.0722037998705686E-2</v>
      </c>
      <c r="E26">
        <v>423</v>
      </c>
      <c r="F26" s="13">
        <f>Messdaten!T26-Messdaten!I26</f>
        <v>9484.6907299999984</v>
      </c>
      <c r="G26">
        <f t="shared" si="2"/>
        <v>2.8369213222807756E-2</v>
      </c>
      <c r="H26">
        <f t="shared" si="3"/>
        <v>2637.0805428539102</v>
      </c>
      <c r="I26">
        <v>643</v>
      </c>
      <c r="J26" s="13">
        <f>Messdaten!W26-Messdaten!F26</f>
        <v>42898.907040000006</v>
      </c>
      <c r="K26">
        <f t="shared" si="4"/>
        <v>0.3079278263446058</v>
      </c>
      <c r="L26">
        <f t="shared" si="5"/>
        <v>6.6647838504446536E-3</v>
      </c>
      <c r="M26">
        <v>423</v>
      </c>
      <c r="N26" s="13">
        <f>Messdaten!Z26-Messdaten!L26</f>
        <v>187.05416000000002</v>
      </c>
      <c r="O26">
        <f t="shared" si="6"/>
        <v>7.0425123532609024E-4</v>
      </c>
      <c r="P26">
        <f t="shared" si="7"/>
        <v>67.996501721048162</v>
      </c>
      <c r="Q26">
        <v>503</v>
      </c>
      <c r="R26">
        <f>Messdaten!AE26-Messdaten!C26</f>
        <v>58134.466840000001</v>
      </c>
      <c r="S26">
        <f t="shared" si="8"/>
        <v>0.56476205315865824</v>
      </c>
      <c r="U26">
        <v>503</v>
      </c>
      <c r="V26">
        <f>Messdaten!AH26-Messdaten!C26</f>
        <v>56416.7621</v>
      </c>
      <c r="W26">
        <f t="shared" si="9"/>
        <v>0.56807804540519868</v>
      </c>
      <c r="Y26" s="14">
        <f>A26</f>
        <v>503</v>
      </c>
      <c r="Z26">
        <f>D26*P106*Y26^4</f>
        <v>1506890635311.4072</v>
      </c>
      <c r="AA26">
        <f>(Z26+Z27)/2*(Y27-Y26)</f>
        <v>1675216746427.4771</v>
      </c>
    </row>
    <row r="27" spans="1:27" x14ac:dyDescent="0.2">
      <c r="A27">
        <v>504</v>
      </c>
      <c r="B27" s="13">
        <f>Messdaten!Q27-Messdaten!C27</f>
        <v>70620.97030999999</v>
      </c>
      <c r="C27">
        <f t="shared" si="0"/>
        <v>0.59115043370373732</v>
      </c>
      <c r="D27">
        <f t="shared" si="1"/>
        <v>1.1839454767896305E-2</v>
      </c>
      <c r="E27">
        <v>424</v>
      </c>
      <c r="F27" s="13">
        <f>Messdaten!T27-Messdaten!I27</f>
        <v>10171.04902</v>
      </c>
      <c r="G27">
        <f t="shared" si="2"/>
        <v>3.1081476037717895E-2</v>
      </c>
      <c r="H27">
        <f t="shared" si="3"/>
        <v>2827.9124996894166</v>
      </c>
      <c r="I27">
        <v>644</v>
      </c>
      <c r="J27" s="13">
        <f>Messdaten!W27-Messdaten!F27</f>
        <v>48184.674490000005</v>
      </c>
      <c r="K27">
        <f t="shared" si="4"/>
        <v>0.34692096286431257</v>
      </c>
      <c r="L27">
        <f t="shared" si="5"/>
        <v>7.4859818708305362E-3</v>
      </c>
      <c r="M27">
        <v>424</v>
      </c>
      <c r="N27" s="13">
        <f>Messdaten!Z27-Messdaten!L27</f>
        <v>4.6871099999999615</v>
      </c>
      <c r="O27">
        <f t="shared" si="6"/>
        <v>4.3919517363553919E-4</v>
      </c>
      <c r="P27">
        <f t="shared" si="7"/>
        <v>1.703822482118224</v>
      </c>
      <c r="Q27">
        <v>504</v>
      </c>
      <c r="R27">
        <f>Messdaten!AE27-Messdaten!C27</f>
        <v>63303.824230000006</v>
      </c>
      <c r="S27">
        <f t="shared" si="8"/>
        <v>0.61485734310970985</v>
      </c>
      <c r="U27">
        <v>504</v>
      </c>
      <c r="V27">
        <f>Messdaten!AH27-Messdaten!C27</f>
        <v>61847.049740000002</v>
      </c>
      <c r="W27">
        <f t="shared" si="9"/>
        <v>0.62227864310930714</v>
      </c>
      <c r="Y27" s="14">
        <f>A27</f>
        <v>504</v>
      </c>
      <c r="Z27">
        <f>D27*P107*Y27^4</f>
        <v>1843542857543.5466</v>
      </c>
      <c r="AA27">
        <f>(Z27+Z28)/2*(Y28-Y27)</f>
        <v>1953640207839.7437</v>
      </c>
    </row>
    <row r="28" spans="1:27" x14ac:dyDescent="0.2">
      <c r="A28">
        <v>505</v>
      </c>
      <c r="B28" s="13">
        <f>Messdaten!Q28-Messdaten!C28</f>
        <v>77089.153250000003</v>
      </c>
      <c r="C28">
        <f t="shared" si="0"/>
        <v>0.64469700737323055</v>
      </c>
      <c r="D28">
        <f t="shared" si="1"/>
        <v>1.2923831816419595E-2</v>
      </c>
      <c r="E28">
        <v>425</v>
      </c>
      <c r="F28" s="13">
        <f>Messdaten!T28-Messdaten!I28</f>
        <v>11189.036399999999</v>
      </c>
      <c r="G28">
        <f t="shared" si="2"/>
        <v>3.5104228231505462E-2</v>
      </c>
      <c r="H28">
        <f t="shared" si="3"/>
        <v>3110.9491098529638</v>
      </c>
      <c r="I28">
        <v>645</v>
      </c>
      <c r="J28" s="13">
        <f>Messdaten!W28-Messdaten!F28</f>
        <v>53723.920870000002</v>
      </c>
      <c r="K28">
        <f t="shared" si="4"/>
        <v>0.38778401489124786</v>
      </c>
      <c r="L28">
        <f t="shared" si="5"/>
        <v>8.3465604348166734E-3</v>
      </c>
      <c r="M28">
        <v>425</v>
      </c>
      <c r="N28" s="13">
        <f>Messdaten!Z28-Messdaten!L28</f>
        <v>-47.210860000000025</v>
      </c>
      <c r="O28">
        <f t="shared" si="6"/>
        <v>3.6376558513293218E-4</v>
      </c>
      <c r="P28">
        <f t="shared" si="7"/>
        <v>-17.161731785287028</v>
      </c>
      <c r="Q28">
        <v>505</v>
      </c>
      <c r="R28">
        <f>Messdaten!AE28-Messdaten!C28</f>
        <v>69618.721009999994</v>
      </c>
      <c r="S28">
        <f t="shared" si="8"/>
        <v>0.67605384421002579</v>
      </c>
      <c r="U28">
        <v>505</v>
      </c>
      <c r="V28">
        <f>Messdaten!AH28-Messdaten!C28</f>
        <v>67278.83455</v>
      </c>
      <c r="W28">
        <f t="shared" si="9"/>
        <v>0.67649418431443131</v>
      </c>
      <c r="Y28" s="14">
        <f>A28</f>
        <v>505</v>
      </c>
      <c r="Z28">
        <f>D28*P108*Y28^4</f>
        <v>2063737558135.9407</v>
      </c>
      <c r="AA28">
        <f>(Z28+Z29)/2*(Y29-Y28)</f>
        <v>2162908455370.8271</v>
      </c>
    </row>
    <row r="29" spans="1:27" x14ac:dyDescent="0.2">
      <c r="A29">
        <v>506</v>
      </c>
      <c r="B29" s="13">
        <f>Messdaten!Q29-Messdaten!C29</f>
        <v>83075.86421</v>
      </c>
      <c r="C29">
        <f t="shared" si="0"/>
        <v>0.69425773600927021</v>
      </c>
      <c r="D29">
        <f t="shared" si="1"/>
        <v>1.3927491116316703E-2</v>
      </c>
      <c r="E29">
        <v>426</v>
      </c>
      <c r="F29" s="13">
        <f>Messdaten!T29-Messdaten!I29</f>
        <v>11691.296849999999</v>
      </c>
      <c r="G29">
        <f t="shared" si="2"/>
        <v>3.7088996772634365E-2</v>
      </c>
      <c r="H29">
        <f t="shared" si="3"/>
        <v>3250.5953353171917</v>
      </c>
      <c r="I29">
        <v>646</v>
      </c>
      <c r="J29" s="13">
        <f>Messdaten!W29-Messdaten!F29</f>
        <v>59413.843209999999</v>
      </c>
      <c r="K29">
        <f t="shared" si="4"/>
        <v>0.42975860433145285</v>
      </c>
      <c r="L29">
        <f t="shared" si="5"/>
        <v>9.2305480498521032E-3</v>
      </c>
      <c r="M29">
        <v>426</v>
      </c>
      <c r="N29" s="13">
        <f>Messdaten!Z29-Messdaten!L29</f>
        <v>-8.5309499999999616</v>
      </c>
      <c r="O29">
        <f t="shared" si="6"/>
        <v>4.1998377044187351E-4</v>
      </c>
      <c r="P29">
        <f t="shared" si="7"/>
        <v>-3.101105884825941</v>
      </c>
      <c r="Q29">
        <v>506</v>
      </c>
      <c r="R29">
        <f>Messdaten!AE29-Messdaten!C29</f>
        <v>75344.365189999997</v>
      </c>
      <c r="S29">
        <f t="shared" si="8"/>
        <v>0.73154000694052534</v>
      </c>
      <c r="U29">
        <v>506</v>
      </c>
      <c r="V29">
        <f>Messdaten!AH29-Messdaten!C29</f>
        <v>72788.745739999998</v>
      </c>
      <c r="W29">
        <f t="shared" si="9"/>
        <v>0.73148951782029248</v>
      </c>
      <c r="Y29" s="14">
        <f>A29</f>
        <v>506</v>
      </c>
      <c r="Z29">
        <f>D29*P109*Y29^4</f>
        <v>2262079352605.7134</v>
      </c>
      <c r="AA29">
        <f>(Z29+Z30)/2*(Y30-Y29)</f>
        <v>2442068994413.0586</v>
      </c>
    </row>
    <row r="30" spans="1:27" x14ac:dyDescent="0.2">
      <c r="A30">
        <v>507</v>
      </c>
      <c r="B30" s="13">
        <f>Messdaten!Q30-Messdaten!C30</f>
        <v>88440.305070000002</v>
      </c>
      <c r="C30">
        <f t="shared" si="0"/>
        <v>0.73866702844428422</v>
      </c>
      <c r="D30">
        <f t="shared" si="1"/>
        <v>1.4826828163630415E-2</v>
      </c>
      <c r="E30">
        <v>427</v>
      </c>
      <c r="F30" s="13">
        <f>Messdaten!T30-Messdaten!I30</f>
        <v>12565.55825</v>
      </c>
      <c r="G30">
        <f t="shared" si="2"/>
        <v>4.0543791040117134E-2</v>
      </c>
      <c r="H30">
        <f t="shared" si="3"/>
        <v>3493.6710235961941</v>
      </c>
      <c r="I30">
        <v>647</v>
      </c>
      <c r="J30" s="13">
        <f>Messdaten!W30-Messdaten!F30</f>
        <v>63707.692429999996</v>
      </c>
      <c r="K30">
        <f t="shared" si="4"/>
        <v>0.4614343544309954</v>
      </c>
      <c r="L30">
        <f t="shared" si="5"/>
        <v>9.8976414308330363E-3</v>
      </c>
      <c r="M30">
        <v>427</v>
      </c>
      <c r="N30" s="13">
        <f>Messdaten!Z30-Messdaten!L30</f>
        <v>75.418909999999983</v>
      </c>
      <c r="O30">
        <f t="shared" si="6"/>
        <v>5.4199824219580662E-4</v>
      </c>
      <c r="P30">
        <f t="shared" si="7"/>
        <v>27.415706999590782</v>
      </c>
      <c r="Q30">
        <v>507</v>
      </c>
      <c r="R30">
        <f>Messdaten!AE30-Messdaten!C30</f>
        <v>80179.885020000002</v>
      </c>
      <c r="S30">
        <f t="shared" si="8"/>
        <v>0.77840013861114865</v>
      </c>
      <c r="U30">
        <v>507</v>
      </c>
      <c r="V30">
        <f>Messdaten!AH30-Messdaten!C30</f>
        <v>77709.562080000003</v>
      </c>
      <c r="W30">
        <f t="shared" si="9"/>
        <v>0.78060499834392516</v>
      </c>
      <c r="Y30" s="14">
        <f>A30</f>
        <v>507</v>
      </c>
      <c r="Z30">
        <f>D30*P110*Y30^4</f>
        <v>2622058636220.4038</v>
      </c>
      <c r="AA30">
        <f>(Z30+Z31)/2*(Y31-Y30)</f>
        <v>2721651124091.1338</v>
      </c>
    </row>
    <row r="31" spans="1:27" x14ac:dyDescent="0.2">
      <c r="A31">
        <v>508</v>
      </c>
      <c r="B31" s="13">
        <f>Messdaten!Q31-Messdaten!C31</f>
        <v>94859.329189999989</v>
      </c>
      <c r="C31">
        <f t="shared" si="0"/>
        <v>0.79180664294130887</v>
      </c>
      <c r="D31">
        <f t="shared" si="1"/>
        <v>1.590296384102444E-2</v>
      </c>
      <c r="E31">
        <v>428</v>
      </c>
      <c r="F31" s="13">
        <f>Messdaten!T31-Messdaten!I31</f>
        <v>13453.09973</v>
      </c>
      <c r="G31">
        <f t="shared" si="2"/>
        <v>4.405106382747475E-2</v>
      </c>
      <c r="H31">
        <f t="shared" si="3"/>
        <v>3740.4390452967564</v>
      </c>
      <c r="I31">
        <v>648</v>
      </c>
      <c r="J31" s="13">
        <f>Messdaten!W31-Messdaten!F31</f>
        <v>69808.184010000012</v>
      </c>
      <c r="K31">
        <f t="shared" si="4"/>
        <v>0.50643771548810401</v>
      </c>
      <c r="L31">
        <f t="shared" si="5"/>
        <v>1.0845415175377314E-2</v>
      </c>
      <c r="M31">
        <v>428</v>
      </c>
      <c r="N31" s="13">
        <f>Messdaten!Z31-Messdaten!L31</f>
        <v>-81.317330000000084</v>
      </c>
      <c r="O31">
        <f t="shared" si="6"/>
        <v>3.1419453259703305E-4</v>
      </c>
      <c r="P31">
        <f t="shared" si="7"/>
        <v>-29.559855655153815</v>
      </c>
      <c r="Q31">
        <v>508</v>
      </c>
      <c r="R31">
        <f>Messdaten!AE31-Messdaten!C31</f>
        <v>84579.850079999989</v>
      </c>
      <c r="S31">
        <f t="shared" si="8"/>
        <v>0.82103938926183651</v>
      </c>
      <c r="U31">
        <v>508</v>
      </c>
      <c r="V31">
        <f>Messdaten!AH31-Messdaten!C31</f>
        <v>82104.427069999991</v>
      </c>
      <c r="W31">
        <f t="shared" si="9"/>
        <v>0.82447087158648147</v>
      </c>
      <c r="Y31" s="14">
        <f>A31</f>
        <v>508</v>
      </c>
      <c r="Z31">
        <f>D31*P111*Y31^4</f>
        <v>2821243611961.8633</v>
      </c>
      <c r="AA31">
        <f>(Z31+Z32)/2*(Y32-Y31)</f>
        <v>3113000636002.291</v>
      </c>
    </row>
    <row r="32" spans="1:27" x14ac:dyDescent="0.2">
      <c r="A32">
        <v>509</v>
      </c>
      <c r="B32" s="13">
        <f>Messdaten!Q32-Messdaten!C32</f>
        <v>100043.29273999999</v>
      </c>
      <c r="C32">
        <f t="shared" si="0"/>
        <v>0.83472186174463514</v>
      </c>
      <c r="D32">
        <f t="shared" si="1"/>
        <v>1.6772044252964878E-2</v>
      </c>
      <c r="E32">
        <v>429</v>
      </c>
      <c r="F32" s="13">
        <f>Messdaten!T32-Messdaten!I32</f>
        <v>14125.416000000001</v>
      </c>
      <c r="G32">
        <f t="shared" si="2"/>
        <v>4.6707837185570394E-2</v>
      </c>
      <c r="H32">
        <f t="shared" si="3"/>
        <v>3927.3668223568234</v>
      </c>
      <c r="I32">
        <v>649</v>
      </c>
      <c r="J32" s="13">
        <f>Messdaten!W32-Messdaten!F32</f>
        <v>77722.983769999992</v>
      </c>
      <c r="K32">
        <f t="shared" si="4"/>
        <v>0.56482523830048603</v>
      </c>
      <c r="L32">
        <f t="shared" si="5"/>
        <v>1.2075060247005019E-2</v>
      </c>
      <c r="M32">
        <v>429</v>
      </c>
      <c r="N32" s="13">
        <f>Messdaten!Z32-Messdaten!L32</f>
        <v>295.14352000000008</v>
      </c>
      <c r="O32">
        <f t="shared" si="6"/>
        <v>8.6135055821502323E-4</v>
      </c>
      <c r="P32">
        <f t="shared" si="7"/>
        <v>107.28832155155605</v>
      </c>
      <c r="Q32">
        <v>509</v>
      </c>
      <c r="R32">
        <f>Messdaten!AE32-Messdaten!C32</f>
        <v>88676.715049999999</v>
      </c>
      <c r="S32">
        <f t="shared" si="8"/>
        <v>0.86074135279012265</v>
      </c>
      <c r="U32">
        <v>509</v>
      </c>
      <c r="V32">
        <f>Messdaten!AH32-Messdaten!C32</f>
        <v>86432.318399999989</v>
      </c>
      <c r="W32">
        <f t="shared" si="9"/>
        <v>0.86766826966840493</v>
      </c>
      <c r="Y32" s="14">
        <f>A32</f>
        <v>509</v>
      </c>
      <c r="Z32">
        <f>D32*P112*Y32^4</f>
        <v>3404757660042.7188</v>
      </c>
      <c r="AA32">
        <f>(Z32+Z33)/2*(Y33-Y32)</f>
        <v>3449896791001.082</v>
      </c>
    </row>
    <row r="33" spans="1:27" x14ac:dyDescent="0.2">
      <c r="A33">
        <v>510</v>
      </c>
      <c r="B33" s="13">
        <f>Messdaten!Q33-Messdaten!C33</f>
        <v>105006.43877000001</v>
      </c>
      <c r="C33">
        <f t="shared" si="0"/>
        <v>0.87580905222658023</v>
      </c>
      <c r="D33">
        <f t="shared" si="1"/>
        <v>1.7604105079525464E-2</v>
      </c>
      <c r="E33">
        <v>430</v>
      </c>
      <c r="F33" s="13">
        <f>Messdaten!T33-Messdaten!I33</f>
        <v>14998.106529999999</v>
      </c>
      <c r="G33">
        <f t="shared" si="2"/>
        <v>5.0156423890108062E-2</v>
      </c>
      <c r="H33">
        <f t="shared" si="3"/>
        <v>4170.0057530408458</v>
      </c>
      <c r="I33">
        <v>650</v>
      </c>
      <c r="J33" s="13">
        <f>Messdaten!W33-Messdaten!F33</f>
        <v>84013.512920000008</v>
      </c>
      <c r="K33">
        <f t="shared" si="4"/>
        <v>0.61123050759154152</v>
      </c>
      <c r="L33">
        <f t="shared" si="5"/>
        <v>1.3052358271184972E-2</v>
      </c>
      <c r="M33">
        <v>430</v>
      </c>
      <c r="N33" s="13">
        <f>Messdaten!Z33-Messdaten!L33</f>
        <v>121.34132</v>
      </c>
      <c r="O33">
        <f t="shared" si="6"/>
        <v>6.0874282756876071E-4</v>
      </c>
      <c r="P33">
        <f t="shared" si="7"/>
        <v>44.109071266922129</v>
      </c>
      <c r="Q33">
        <v>510</v>
      </c>
      <c r="R33">
        <f>Messdaten!AE33-Messdaten!C33</f>
        <v>92961.649440000008</v>
      </c>
      <c r="S33">
        <f t="shared" si="8"/>
        <v>0.90226586241360651</v>
      </c>
      <c r="U33">
        <v>510</v>
      </c>
      <c r="V33">
        <f>Messdaten!AH33-Messdaten!C33</f>
        <v>89666.265119999996</v>
      </c>
      <c r="W33">
        <f t="shared" si="9"/>
        <v>0.89994682594157527</v>
      </c>
      <c r="Y33" s="14">
        <f>A33</f>
        <v>510</v>
      </c>
      <c r="Z33">
        <f>D33*P113*Y33^4</f>
        <v>3495035921959.4458</v>
      </c>
      <c r="AA33">
        <f>(Z33+Z34)/2*(Y34-Y33)</f>
        <v>3583294458405.9092</v>
      </c>
    </row>
    <row r="34" spans="1:27" x14ac:dyDescent="0.2">
      <c r="A34">
        <v>511</v>
      </c>
      <c r="B34" s="13">
        <f>Messdaten!Q34-Messdaten!C34</f>
        <v>109061.60391000001</v>
      </c>
      <c r="C34">
        <f t="shared" si="0"/>
        <v>0.90937956204753001</v>
      </c>
      <c r="D34">
        <f t="shared" si="1"/>
        <v>1.828394485007279E-2</v>
      </c>
      <c r="E34">
        <v>431</v>
      </c>
      <c r="F34" s="13">
        <f>Messdaten!T34-Messdaten!I34</f>
        <v>16280.336069999999</v>
      </c>
      <c r="G34">
        <f t="shared" si="2"/>
        <v>5.5223374420451804E-2</v>
      </c>
      <c r="H34">
        <f t="shared" si="3"/>
        <v>4526.5110590822287</v>
      </c>
      <c r="I34">
        <v>651</v>
      </c>
      <c r="J34" s="13">
        <f>Messdaten!W34-Messdaten!F34</f>
        <v>90563.367559999999</v>
      </c>
      <c r="K34">
        <f t="shared" si="4"/>
        <v>0.65954882249617364</v>
      </c>
      <c r="L34">
        <f t="shared" si="5"/>
        <v>1.4069945161842312E-2</v>
      </c>
      <c r="M34">
        <v>431</v>
      </c>
      <c r="N34" s="13">
        <f>Messdaten!Z34-Messdaten!L34</f>
        <v>6.7425999999999249</v>
      </c>
      <c r="O34">
        <f t="shared" si="6"/>
        <v>4.4218266553303E-4</v>
      </c>
      <c r="P34">
        <f t="shared" si="7"/>
        <v>2.4510185312335961</v>
      </c>
      <c r="Q34">
        <v>511</v>
      </c>
      <c r="R34">
        <f>Messdaten!AE34-Messdaten!C34</f>
        <v>95956.289090000006</v>
      </c>
      <c r="S34">
        <f t="shared" si="8"/>
        <v>0.93128636346386673</v>
      </c>
      <c r="U34">
        <v>511</v>
      </c>
      <c r="V34">
        <f>Messdaten!AH34-Messdaten!C34</f>
        <v>92703.022620000003</v>
      </c>
      <c r="W34">
        <f t="shared" si="9"/>
        <v>0.9302572040456778</v>
      </c>
      <c r="Y34" s="14">
        <f>A34</f>
        <v>511</v>
      </c>
      <c r="Z34">
        <f>D34*P114*Y34^4</f>
        <v>3671552994852.3721</v>
      </c>
      <c r="AA34">
        <f>(Z34+Z35)/2*(Y35-Y34)</f>
        <v>3888108865625.7266</v>
      </c>
    </row>
    <row r="35" spans="1:27" x14ac:dyDescent="0.2">
      <c r="A35">
        <v>512</v>
      </c>
      <c r="B35" s="13">
        <f>Messdaten!Q35-Messdaten!C35</f>
        <v>112523.43749</v>
      </c>
      <c r="C35">
        <f t="shared" si="0"/>
        <v>0.93803820212350075</v>
      </c>
      <c r="D35">
        <f t="shared" si="1"/>
        <v>1.8864313852431158E-2</v>
      </c>
      <c r="E35">
        <v>432</v>
      </c>
      <c r="F35" s="13">
        <f>Messdaten!T35-Messdaten!I35</f>
        <v>17199.119319999998</v>
      </c>
      <c r="G35">
        <f t="shared" si="2"/>
        <v>5.8854104434563348E-2</v>
      </c>
      <c r="H35">
        <f t="shared" si="3"/>
        <v>4781.9654013109575</v>
      </c>
      <c r="I35">
        <v>652</v>
      </c>
      <c r="J35" s="13">
        <f>Messdaten!W35-Messdaten!F35</f>
        <v>97054.063769999993</v>
      </c>
      <c r="K35">
        <f t="shared" si="4"/>
        <v>0.70743072532647566</v>
      </c>
      <c r="L35">
        <f t="shared" si="5"/>
        <v>1.5078341185503578E-2</v>
      </c>
      <c r="M35">
        <v>432</v>
      </c>
      <c r="N35" s="13">
        <f>Messdaten!Z35-Messdaten!L35</f>
        <v>-3.1619500000000471</v>
      </c>
      <c r="O35">
        <f t="shared" si="6"/>
        <v>4.2778718665777734E-4</v>
      </c>
      <c r="P35">
        <f t="shared" si="7"/>
        <v>-1.1494079501726739</v>
      </c>
      <c r="Q35">
        <v>512</v>
      </c>
      <c r="R35">
        <f>Messdaten!AE35-Messdaten!C35</f>
        <v>98582.538920000006</v>
      </c>
      <c r="S35">
        <f t="shared" si="8"/>
        <v>0.95673686664870261</v>
      </c>
      <c r="U35">
        <v>512</v>
      </c>
      <c r="V35">
        <f>Messdaten!AH35-Messdaten!C35</f>
        <v>95932.613299999997</v>
      </c>
      <c r="W35">
        <f t="shared" si="9"/>
        <v>0.9624922819642423</v>
      </c>
      <c r="Y35" s="14">
        <f>A35</f>
        <v>512</v>
      </c>
      <c r="Z35">
        <f>D35*P115*Y35^4</f>
        <v>4104664736399.0811</v>
      </c>
      <c r="AA35">
        <f>(Z35+Z36)/2*(Y36-Y35)</f>
        <v>4163288993713.4448</v>
      </c>
    </row>
    <row r="36" spans="1:27" x14ac:dyDescent="0.2">
      <c r="A36">
        <v>513</v>
      </c>
      <c r="B36" s="13">
        <f>Messdaten!Q36-Messdaten!C36</f>
        <v>114880.61360000001</v>
      </c>
      <c r="C36">
        <f t="shared" si="0"/>
        <v>0.95755198294833388</v>
      </c>
      <c r="D36">
        <f t="shared" si="1"/>
        <v>1.9259489390402479E-2</v>
      </c>
      <c r="E36">
        <v>433</v>
      </c>
      <c r="F36" s="13">
        <f>Messdaten!T36-Messdaten!I36</f>
        <v>18225.42871</v>
      </c>
      <c r="G36">
        <f t="shared" si="2"/>
        <v>6.2909742481989134E-2</v>
      </c>
      <c r="H36">
        <f t="shared" si="3"/>
        <v>5067.3158255221306</v>
      </c>
      <c r="I36">
        <v>653</v>
      </c>
      <c r="J36" s="13">
        <f>Messdaten!W36-Messdaten!F36</f>
        <v>103143.36649</v>
      </c>
      <c r="K36">
        <f t="shared" si="4"/>
        <v>0.7523515460997735</v>
      </c>
      <c r="L36">
        <f t="shared" si="5"/>
        <v>1.6024376626240643E-2</v>
      </c>
      <c r="M36">
        <v>433</v>
      </c>
      <c r="N36" s="13">
        <f>Messdaten!Z36-Messdaten!L36</f>
        <v>315.30944999999997</v>
      </c>
      <c r="O36">
        <f t="shared" si="6"/>
        <v>8.9066014010565151E-4</v>
      </c>
      <c r="P36">
        <f t="shared" si="7"/>
        <v>114.6188866346931</v>
      </c>
      <c r="Q36">
        <v>513</v>
      </c>
      <c r="R36">
        <f>Messdaten!AE36-Messdaten!C36</f>
        <v>100497.76718000001</v>
      </c>
      <c r="S36">
        <f t="shared" si="8"/>
        <v>0.97529699081282972</v>
      </c>
      <c r="U36">
        <v>513</v>
      </c>
      <c r="V36">
        <f>Messdaten!AH36-Messdaten!C36</f>
        <v>97245.409390000001</v>
      </c>
      <c r="W36">
        <f t="shared" si="9"/>
        <v>0.97559551653647514</v>
      </c>
      <c r="Y36" s="14">
        <f>A36</f>
        <v>513</v>
      </c>
      <c r="Z36">
        <f>D36*P116*Y36^4</f>
        <v>4221913251027.8086</v>
      </c>
      <c r="AA36">
        <f>(Z36+Z37)/2*(Y37-Y36)</f>
        <v>4461692664441.5527</v>
      </c>
    </row>
    <row r="37" spans="1:27" x14ac:dyDescent="0.2">
      <c r="A37">
        <v>514</v>
      </c>
      <c r="B37" s="13">
        <f>Messdaten!Q37-Messdaten!C37</f>
        <v>117120.63646000001</v>
      </c>
      <c r="C37">
        <f t="shared" si="0"/>
        <v>0.97609591564272036</v>
      </c>
      <c r="D37">
        <f t="shared" si="1"/>
        <v>1.9635024436347157E-2</v>
      </c>
      <c r="E37">
        <v>434</v>
      </c>
      <c r="F37" s="13">
        <f>Messdaten!T37-Messdaten!I37</f>
        <v>19191.600569999999</v>
      </c>
      <c r="G37">
        <f t="shared" si="2"/>
        <v>6.6727736737861754E-2</v>
      </c>
      <c r="H37">
        <f t="shared" si="3"/>
        <v>5335.9458826941654</v>
      </c>
      <c r="I37">
        <v>654</v>
      </c>
      <c r="J37" s="13">
        <f>Messdaten!W37-Messdaten!F37</f>
        <v>109101.93499000001</v>
      </c>
      <c r="K37">
        <f t="shared" si="4"/>
        <v>0.7963079397891184</v>
      </c>
      <c r="L37">
        <f t="shared" si="5"/>
        <v>1.6950101169141918E-2</v>
      </c>
      <c r="M37">
        <v>434</v>
      </c>
      <c r="N37" s="13">
        <f>Messdaten!Z37-Messdaten!L37</f>
        <v>-54.280669999999986</v>
      </c>
      <c r="O37">
        <f t="shared" si="6"/>
        <v>3.5349017630496426E-4</v>
      </c>
      <c r="P37">
        <f t="shared" si="7"/>
        <v>-19.731695200334737</v>
      </c>
      <c r="Q37">
        <v>514</v>
      </c>
      <c r="R37">
        <f>Messdaten!AE37-Messdaten!C37</f>
        <v>102183.47572</v>
      </c>
      <c r="S37">
        <f t="shared" si="8"/>
        <v>0.99163288166216856</v>
      </c>
      <c r="U37">
        <v>514</v>
      </c>
      <c r="V37">
        <f>Messdaten!AH37-Messdaten!C37</f>
        <v>98305.164910000007</v>
      </c>
      <c r="W37">
        <f t="shared" si="9"/>
        <v>0.98617311139187924</v>
      </c>
      <c r="Y37" s="14">
        <f>A37</f>
        <v>514</v>
      </c>
      <c r="Z37">
        <f>D37*P117*Y37^4</f>
        <v>4701472077855.2979</v>
      </c>
      <c r="AA37">
        <f>(Z37+Z38)/2*(Y38-Y37)</f>
        <v>4855208457824.4766</v>
      </c>
    </row>
    <row r="38" spans="1:27" x14ac:dyDescent="0.2">
      <c r="A38">
        <v>515</v>
      </c>
      <c r="B38" s="13">
        <f>Messdaten!Q38-Messdaten!C38</f>
        <v>119164.38777</v>
      </c>
      <c r="C38">
        <f t="shared" si="0"/>
        <v>0.99301502277036091</v>
      </c>
      <c r="D38">
        <f t="shared" si="1"/>
        <v>1.9977654976332068E-2</v>
      </c>
      <c r="E38">
        <v>435</v>
      </c>
      <c r="F38" s="13">
        <f>Messdaten!T38-Messdaten!I38</f>
        <v>20170.12974</v>
      </c>
      <c r="G38">
        <f t="shared" si="2"/>
        <v>7.0594563029266907E-2</v>
      </c>
      <c r="H38">
        <f t="shared" si="3"/>
        <v>5608.0117104875817</v>
      </c>
      <c r="I38">
        <v>655</v>
      </c>
      <c r="J38" s="13">
        <f>Messdaten!W38-Messdaten!F38</f>
        <v>112973.67512</v>
      </c>
      <c r="K38">
        <f t="shared" si="4"/>
        <v>0.82486978873272199</v>
      </c>
      <c r="L38">
        <f t="shared" si="5"/>
        <v>1.7551615586921414E-2</v>
      </c>
      <c r="M38">
        <v>435</v>
      </c>
      <c r="N38" s="13">
        <f>Messdaten!Z38-Messdaten!L38</f>
        <v>174.39913999999999</v>
      </c>
      <c r="O38">
        <f t="shared" si="6"/>
        <v>6.8585816617343809E-4</v>
      </c>
      <c r="P38">
        <f t="shared" si="7"/>
        <v>63.396245361019062</v>
      </c>
      <c r="Q38">
        <v>515</v>
      </c>
      <c r="R38">
        <f>Messdaten!AE38-Messdaten!C38</f>
        <v>102627.83159999999</v>
      </c>
      <c r="S38">
        <f t="shared" si="8"/>
        <v>0.9959390526174049</v>
      </c>
      <c r="U38">
        <v>515</v>
      </c>
      <c r="V38">
        <f>Messdaten!AH38-Messdaten!C38</f>
        <v>99690.46295999999</v>
      </c>
      <c r="W38">
        <f t="shared" si="9"/>
        <v>1</v>
      </c>
      <c r="Y38" s="14">
        <f>A38</f>
        <v>515</v>
      </c>
      <c r="Z38">
        <f>D38*P118*Y38^4</f>
        <v>5008944837793.6563</v>
      </c>
      <c r="AA38">
        <f>(Z38+Z39)/2*(Y39-Y38)</f>
        <v>5260564983567.4951</v>
      </c>
    </row>
    <row r="39" spans="1:27" x14ac:dyDescent="0.2">
      <c r="A39">
        <v>516</v>
      </c>
      <c r="B39" s="13">
        <f>Messdaten!Q39-Messdaten!C39</f>
        <v>119536.26147</v>
      </c>
      <c r="C39">
        <f t="shared" si="0"/>
        <v>0.99609356316686937</v>
      </c>
      <c r="D39">
        <f t="shared" si="1"/>
        <v>2.003999880750847E-2</v>
      </c>
      <c r="E39">
        <v>436</v>
      </c>
      <c r="F39" s="13">
        <f>Messdaten!T39-Messdaten!I39</f>
        <v>21364.2019</v>
      </c>
      <c r="G39">
        <f t="shared" si="2"/>
        <v>7.5313144512252156E-2</v>
      </c>
      <c r="H39">
        <f t="shared" si="3"/>
        <v>5940.006137036431</v>
      </c>
      <c r="I39">
        <v>656</v>
      </c>
      <c r="J39" s="13">
        <f>Messdaten!W39-Messdaten!F39</f>
        <v>119827.16417999999</v>
      </c>
      <c r="K39">
        <f t="shared" si="4"/>
        <v>0.87542801647936574</v>
      </c>
      <c r="L39">
        <f t="shared" si="5"/>
        <v>1.8616375189390931E-2</v>
      </c>
      <c r="M39">
        <v>436</v>
      </c>
      <c r="N39" s="13">
        <f>Messdaten!Z39-Messdaten!L39</f>
        <v>225.42948999999999</v>
      </c>
      <c r="O39">
        <f t="shared" si="6"/>
        <v>7.600267377311313E-4</v>
      </c>
      <c r="P39">
        <f t="shared" si="7"/>
        <v>81.946409022713027</v>
      </c>
      <c r="Q39">
        <v>516</v>
      </c>
      <c r="R39">
        <f>Messdaten!AE39-Messdaten!C39</f>
        <v>103046.88274</v>
      </c>
      <c r="S39">
        <f t="shared" si="8"/>
        <v>1</v>
      </c>
      <c r="U39">
        <v>516</v>
      </c>
      <c r="V39">
        <f>Messdaten!AH39-Messdaten!C39</f>
        <v>99307.086490000002</v>
      </c>
      <c r="W39">
        <f t="shared" si="9"/>
        <v>0.99617345614132324</v>
      </c>
      <c r="Y39" s="14">
        <f>A39</f>
        <v>516</v>
      </c>
      <c r="Z39">
        <f>D39*P119*Y39^4</f>
        <v>5512185129341.334</v>
      </c>
      <c r="AA39">
        <f>(Z39+Z40)/2*(Y40-Y39)</f>
        <v>5506212741954.3457</v>
      </c>
    </row>
    <row r="40" spans="1:27" x14ac:dyDescent="0.2">
      <c r="A40">
        <v>517</v>
      </c>
      <c r="B40" s="13">
        <f>Messdaten!Q40-Messdaten!C40</f>
        <v>120008.1413</v>
      </c>
      <c r="C40">
        <f t="shared" si="0"/>
        <v>1</v>
      </c>
      <c r="D40">
        <f t="shared" si="1"/>
        <v>2.0119108452683884E-2</v>
      </c>
      <c r="E40">
        <v>437</v>
      </c>
      <c r="F40" s="13">
        <f>Messdaten!T40-Messdaten!I40</f>
        <v>23130.28629</v>
      </c>
      <c r="G40">
        <f t="shared" si="2"/>
        <v>8.2292130690142198E-2</v>
      </c>
      <c r="H40">
        <f t="shared" si="3"/>
        <v>6431.0402587053632</v>
      </c>
      <c r="I40">
        <v>657</v>
      </c>
      <c r="J40" s="13">
        <f>Messdaten!W40-Messdaten!F40</f>
        <v>123466.00649</v>
      </c>
      <c r="K40">
        <f t="shared" si="4"/>
        <v>0.90227177688118132</v>
      </c>
      <c r="L40">
        <f t="shared" si="5"/>
        <v>1.9181706549450745E-2</v>
      </c>
      <c r="M40">
        <v>437</v>
      </c>
      <c r="N40" s="13">
        <f>Messdaten!Z40-Messdaten!L40</f>
        <v>-34.356570000000033</v>
      </c>
      <c r="O40">
        <f t="shared" si="6"/>
        <v>3.8244827744619945E-4</v>
      </c>
      <c r="P40">
        <f t="shared" si="7"/>
        <v>-12.489038314541165</v>
      </c>
      <c r="Q40">
        <v>517</v>
      </c>
      <c r="R40">
        <f>Messdaten!AE40-Messdaten!C40</f>
        <v>102380.3566</v>
      </c>
      <c r="S40">
        <f t="shared" si="8"/>
        <v>0.99354081799261029</v>
      </c>
      <c r="U40">
        <v>517</v>
      </c>
      <c r="V40">
        <f>Messdaten!AH40-Messdaten!C40</f>
        <v>99198.413130000001</v>
      </c>
      <c r="W40">
        <f t="shared" si="9"/>
        <v>0.99508876938861301</v>
      </c>
      <c r="Y40" s="14">
        <f>A40</f>
        <v>517</v>
      </c>
      <c r="Z40">
        <f>D40*P120*Y40^4</f>
        <v>5500240354567.3564</v>
      </c>
      <c r="AA40">
        <f>(Z40+Z41)/2*(Y41-Y40)</f>
        <v>5579179302065.8457</v>
      </c>
    </row>
    <row r="41" spans="1:27" x14ac:dyDescent="0.2">
      <c r="A41">
        <v>518</v>
      </c>
      <c r="B41" s="13">
        <f>Messdaten!Q41-Messdaten!C41</f>
        <v>119178.17497000001</v>
      </c>
      <c r="C41">
        <f t="shared" si="0"/>
        <v>0.99312915951128877</v>
      </c>
      <c r="D41">
        <f t="shared" si="1"/>
        <v>1.9979966370951251E-2</v>
      </c>
      <c r="E41">
        <v>438</v>
      </c>
      <c r="F41" s="13">
        <f>Messdaten!T41-Messdaten!I41</f>
        <v>24440.308059999999</v>
      </c>
      <c r="G41">
        <f t="shared" si="2"/>
        <v>8.7468906996717805E-2</v>
      </c>
      <c r="H41">
        <f t="shared" si="3"/>
        <v>6795.272790764112</v>
      </c>
      <c r="I41">
        <v>658</v>
      </c>
      <c r="J41" s="13">
        <f>Messdaten!W41-Messdaten!F41</f>
        <v>126663.76123</v>
      </c>
      <c r="K41">
        <f t="shared" si="4"/>
        <v>0.9258616317722359</v>
      </c>
      <c r="L41">
        <f t="shared" si="5"/>
        <v>1.9678510445385964E-2</v>
      </c>
      <c r="M41">
        <v>438</v>
      </c>
      <c r="N41" s="13">
        <f>Messdaten!Z41-Messdaten!L41</f>
        <v>42.222690000000057</v>
      </c>
      <c r="O41">
        <f t="shared" si="6"/>
        <v>4.9375016593305478E-4</v>
      </c>
      <c r="P41">
        <f t="shared" si="7"/>
        <v>15.348470267928212</v>
      </c>
      <c r="Q41">
        <v>518</v>
      </c>
      <c r="R41">
        <f>Messdaten!AE41-Messdaten!C41</f>
        <v>101862.59016000001</v>
      </c>
      <c r="S41">
        <f t="shared" si="8"/>
        <v>0.98852323882718074</v>
      </c>
      <c r="U41">
        <v>518</v>
      </c>
      <c r="V41">
        <f>Messdaten!AH41-Messdaten!C41</f>
        <v>98313.968850000005</v>
      </c>
      <c r="W41">
        <f t="shared" si="9"/>
        <v>0.98626098497092063</v>
      </c>
      <c r="Y41" s="14">
        <f>A41</f>
        <v>518</v>
      </c>
      <c r="Z41">
        <f>D41*P121*Y41^4</f>
        <v>5658118249564.335</v>
      </c>
      <c r="AA41">
        <f>(Z41+Z42)/2*(Y42-Y41)</f>
        <v>5820872268424.5156</v>
      </c>
    </row>
    <row r="42" spans="1:27" x14ac:dyDescent="0.2">
      <c r="A42">
        <v>519</v>
      </c>
      <c r="B42" s="13">
        <f>Messdaten!Q42-Messdaten!C42</f>
        <v>118242.66228999999</v>
      </c>
      <c r="C42">
        <f t="shared" si="0"/>
        <v>0.98538455811348635</v>
      </c>
      <c r="D42">
        <f t="shared" si="1"/>
        <v>1.9823129669175075E-2</v>
      </c>
      <c r="E42">
        <v>439</v>
      </c>
      <c r="F42" s="13">
        <f>Messdaten!T42-Messdaten!I42</f>
        <v>25473.066010000002</v>
      </c>
      <c r="G42">
        <f t="shared" si="2"/>
        <v>9.1550027637932505E-2</v>
      </c>
      <c r="H42">
        <f t="shared" si="3"/>
        <v>7082.4161434522912</v>
      </c>
      <c r="I42">
        <v>659</v>
      </c>
      <c r="J42" s="13">
        <f>Messdaten!W42-Messdaten!F42</f>
        <v>129920.22049000001</v>
      </c>
      <c r="K42">
        <f t="shared" si="4"/>
        <v>0.94988455024097085</v>
      </c>
      <c r="L42">
        <f t="shared" si="5"/>
        <v>2.0184434688757528E-2</v>
      </c>
      <c r="M42">
        <v>439</v>
      </c>
      <c r="N42" s="13">
        <f>Messdaten!Z42-Messdaten!L42</f>
        <v>143.16877999999997</v>
      </c>
      <c r="O42">
        <f t="shared" si="6"/>
        <v>6.4046731170286288E-4</v>
      </c>
      <c r="P42">
        <f t="shared" si="7"/>
        <v>52.043623064412799</v>
      </c>
      <c r="Q42">
        <v>519</v>
      </c>
      <c r="R42">
        <f>Messdaten!AE42-Messdaten!C42</f>
        <v>100305.30206999999</v>
      </c>
      <c r="S42">
        <f t="shared" si="8"/>
        <v>0.97343184689579987</v>
      </c>
      <c r="U42">
        <v>519</v>
      </c>
      <c r="V42">
        <f>Messdaten!AH42-Messdaten!C42</f>
        <v>97011.566319999998</v>
      </c>
      <c r="W42">
        <f t="shared" si="9"/>
        <v>0.97326149023746233</v>
      </c>
      <c r="Y42" s="14">
        <f>A42</f>
        <v>519</v>
      </c>
      <c r="Z42">
        <f>D42*P122*Y42^4</f>
        <v>5983626287284.6973</v>
      </c>
      <c r="AA42">
        <f>(Z42+Z43)/2*(Y43-Y42)</f>
        <v>6118448884705.6465</v>
      </c>
    </row>
    <row r="43" spans="1:27" x14ac:dyDescent="0.2">
      <c r="A43">
        <v>520</v>
      </c>
      <c r="B43" s="13">
        <f>Messdaten!Q43-Messdaten!C43</f>
        <v>117561.80835000001</v>
      </c>
      <c r="C43">
        <f t="shared" si="0"/>
        <v>0.97974813811817096</v>
      </c>
      <c r="D43">
        <f t="shared" si="1"/>
        <v>1.9708985960999032E-2</v>
      </c>
      <c r="E43">
        <v>440</v>
      </c>
      <c r="F43" s="13">
        <f>Messdaten!T43-Messdaten!I43</f>
        <v>27580.11391</v>
      </c>
      <c r="G43">
        <f t="shared" si="2"/>
        <v>9.9876389760555767E-2</v>
      </c>
      <c r="H43">
        <f t="shared" si="3"/>
        <v>7668.2502183975248</v>
      </c>
      <c r="I43">
        <v>660</v>
      </c>
      <c r="J43" s="13">
        <f>Messdaten!W43-Messdaten!F43</f>
        <v>134687.93534</v>
      </c>
      <c r="K43">
        <f t="shared" si="4"/>
        <v>0.98505600978618468</v>
      </c>
      <c r="L43">
        <f t="shared" si="5"/>
        <v>2.0925147940640064E-2</v>
      </c>
      <c r="M43">
        <v>440</v>
      </c>
      <c r="N43" s="13">
        <f>Messdaten!Z43-Messdaten!L43</f>
        <v>87.577629999999999</v>
      </c>
      <c r="O43">
        <f t="shared" si="6"/>
        <v>5.5966997861089994E-4</v>
      </c>
      <c r="P43">
        <f t="shared" si="7"/>
        <v>31.835552168528718</v>
      </c>
      <c r="Q43">
        <v>520</v>
      </c>
      <c r="R43">
        <f>Messdaten!AE43-Messdaten!C43</f>
        <v>99305.015429999999</v>
      </c>
      <c r="S43">
        <f t="shared" si="8"/>
        <v>0.96373825338224273</v>
      </c>
      <c r="U43">
        <v>520</v>
      </c>
      <c r="V43">
        <f>Messdaten!AH43-Messdaten!C43</f>
        <v>95864.287500000006</v>
      </c>
      <c r="W43">
        <f t="shared" si="9"/>
        <v>0.96181031087097424</v>
      </c>
      <c r="Y43" s="14">
        <f>A43</f>
        <v>520</v>
      </c>
      <c r="Z43">
        <f>D43*P123*Y43^4</f>
        <v>6253271482126.5957</v>
      </c>
      <c r="AA43">
        <f>(Z43+Z44)/2*(Y44-Y43)</f>
        <v>6195643983626.168</v>
      </c>
    </row>
    <row r="44" spans="1:27" x14ac:dyDescent="0.2">
      <c r="A44">
        <v>521</v>
      </c>
      <c r="B44" s="13">
        <f>Messdaten!Q44-Messdaten!C44</f>
        <v>115404.97301</v>
      </c>
      <c r="C44">
        <f t="shared" si="0"/>
        <v>0.96189286972245724</v>
      </c>
      <c r="D44">
        <f t="shared" si="1"/>
        <v>1.934739712502527E-2</v>
      </c>
      <c r="E44">
        <v>441</v>
      </c>
      <c r="F44" s="13">
        <f>Messdaten!T44-Messdaten!I44</f>
        <v>29304.024120000002</v>
      </c>
      <c r="G44">
        <f t="shared" si="2"/>
        <v>0.10668871741354721</v>
      </c>
      <c r="H44">
        <f t="shared" si="3"/>
        <v>8147.5584216728266</v>
      </c>
      <c r="I44">
        <v>661</v>
      </c>
      <c r="J44" s="13">
        <f>Messdaten!W44-Messdaten!F44</f>
        <v>133966.31084999998</v>
      </c>
      <c r="K44">
        <f t="shared" si="4"/>
        <v>0.97973258182218403</v>
      </c>
      <c r="L44">
        <f t="shared" si="5"/>
        <v>2.0813036197500478E-2</v>
      </c>
      <c r="M44">
        <v>441</v>
      </c>
      <c r="N44" s="13">
        <f>Messdaten!Z44-Messdaten!L44</f>
        <v>176.86530999999997</v>
      </c>
      <c r="O44">
        <f t="shared" si="6"/>
        <v>6.8944254892053735E-4</v>
      </c>
      <c r="P44">
        <f t="shared" si="7"/>
        <v>64.292728671785298</v>
      </c>
      <c r="Q44">
        <v>521</v>
      </c>
      <c r="R44">
        <f>Messdaten!AE44-Messdaten!C44</f>
        <v>96576.025690000009</v>
      </c>
      <c r="S44">
        <f t="shared" si="8"/>
        <v>0.93729211666064449</v>
      </c>
      <c r="U44">
        <v>521</v>
      </c>
      <c r="V44">
        <f>Messdaten!AH44-Messdaten!C44</f>
        <v>93925.577710000012</v>
      </c>
      <c r="W44">
        <f t="shared" si="9"/>
        <v>0.94245972829431968</v>
      </c>
      <c r="Y44" s="14">
        <f>A44</f>
        <v>521</v>
      </c>
      <c r="Z44">
        <f>D44*P124*Y44^4</f>
        <v>6138016485125.7393</v>
      </c>
      <c r="AA44">
        <f>(Z44+Z45)/2*(Y45-Y44)</f>
        <v>6428579794792.7285</v>
      </c>
    </row>
    <row r="45" spans="1:27" x14ac:dyDescent="0.2">
      <c r="A45">
        <v>522</v>
      </c>
      <c r="B45" s="13">
        <f>Messdaten!Q45-Messdaten!C45</f>
        <v>113433.41559</v>
      </c>
      <c r="C45">
        <f t="shared" si="0"/>
        <v>0.94557141660139488</v>
      </c>
      <c r="D45">
        <f t="shared" si="1"/>
        <v>1.9016869736433233E-2</v>
      </c>
      <c r="E45">
        <v>442</v>
      </c>
      <c r="F45" s="13">
        <f>Messdaten!T45-Messdaten!I45</f>
        <v>31669.08166</v>
      </c>
      <c r="G45">
        <f t="shared" si="2"/>
        <v>0.1160346489981498</v>
      </c>
      <c r="H45">
        <f t="shared" si="3"/>
        <v>8805.1283308040584</v>
      </c>
      <c r="I45">
        <v>662</v>
      </c>
      <c r="J45" s="13">
        <f>Messdaten!W45-Messdaten!F45</f>
        <v>136713.68818</v>
      </c>
      <c r="K45">
        <f t="shared" si="4"/>
        <v>1</v>
      </c>
      <c r="L45">
        <f t="shared" si="5"/>
        <v>2.1239869357678395E-2</v>
      </c>
      <c r="M45">
        <v>442</v>
      </c>
      <c r="N45" s="13">
        <f>Messdaten!Z45-Messdaten!L45</f>
        <v>23.506849999999986</v>
      </c>
      <c r="O45">
        <f t="shared" si="6"/>
        <v>4.6654817499428318E-4</v>
      </c>
      <c r="P45">
        <f t="shared" si="7"/>
        <v>8.5450308428394202</v>
      </c>
      <c r="Q45">
        <v>522</v>
      </c>
      <c r="R45">
        <f>Messdaten!AE45-Messdaten!C45</f>
        <v>94640.426420000003</v>
      </c>
      <c r="S45">
        <f t="shared" si="8"/>
        <v>0.91853458079220762</v>
      </c>
      <c r="U45">
        <v>522</v>
      </c>
      <c r="V45">
        <f>Messdaten!AH45-Messdaten!C45</f>
        <v>91771.757490000004</v>
      </c>
      <c r="W45">
        <f t="shared" si="9"/>
        <v>0.92096209299204046</v>
      </c>
      <c r="Y45" s="14">
        <f>A45</f>
        <v>522</v>
      </c>
      <c r="Z45">
        <f>D45*P125*Y45^4</f>
        <v>6719143104459.7168</v>
      </c>
      <c r="AA45">
        <f>(Z45+Z46)/2*(Y46-Y45)</f>
        <v>6875666870313.9648</v>
      </c>
    </row>
    <row r="46" spans="1:27" x14ac:dyDescent="0.2">
      <c r="A46">
        <v>523</v>
      </c>
      <c r="B46" s="13">
        <f>Messdaten!Q46-Messdaten!C46</f>
        <v>111679.64473</v>
      </c>
      <c r="C46">
        <f t="shared" si="0"/>
        <v>0.93105290012999764</v>
      </c>
      <c r="D46">
        <f t="shared" si="1"/>
        <v>1.8722853799253668E-2</v>
      </c>
      <c r="E46">
        <v>443</v>
      </c>
      <c r="F46" s="13">
        <f>Messdaten!T46-Messdaten!I46</f>
        <v>33803.264380000001</v>
      </c>
      <c r="G46">
        <f t="shared" si="2"/>
        <v>0.12446823902833618</v>
      </c>
      <c r="H46">
        <f t="shared" si="3"/>
        <v>9398.5068484615367</v>
      </c>
      <c r="I46">
        <v>663</v>
      </c>
      <c r="J46" s="13">
        <f>Messdaten!W46-Messdaten!F46</f>
        <v>135814.39090999999</v>
      </c>
      <c r="K46">
        <f t="shared" si="4"/>
        <v>0.99336587892815642</v>
      </c>
      <c r="L46">
        <f t="shared" si="5"/>
        <v>2.1100154331459745E-2</v>
      </c>
      <c r="M46">
        <v>443</v>
      </c>
      <c r="N46" s="13">
        <f>Messdaten!Z46-Messdaten!L46</f>
        <v>536.22205999999994</v>
      </c>
      <c r="O46">
        <f t="shared" si="6"/>
        <v>1.2117391200221475E-3</v>
      </c>
      <c r="P46">
        <f t="shared" si="7"/>
        <v>194.92335388667101</v>
      </c>
      <c r="Q46">
        <v>523</v>
      </c>
      <c r="R46">
        <f>Messdaten!AE46-Messdaten!C46</f>
        <v>92502.804960000009</v>
      </c>
      <c r="S46">
        <f t="shared" si="8"/>
        <v>0.8978192851054666</v>
      </c>
      <c r="U46">
        <v>523</v>
      </c>
      <c r="V46">
        <f>Messdaten!AH46-Messdaten!C46</f>
        <v>89695.939339999997</v>
      </c>
      <c r="W46">
        <f t="shared" si="9"/>
        <v>0.90024300923185918</v>
      </c>
      <c r="Y46" s="14">
        <f>A46</f>
        <v>523</v>
      </c>
      <c r="Z46">
        <f>D46*P126*Y46^4</f>
        <v>7032190636168.2119</v>
      </c>
      <c r="AA46">
        <f>(Z46+Z47)/2*(Y47-Y46)</f>
        <v>7031392339912.3457</v>
      </c>
    </row>
    <row r="47" spans="1:27" x14ac:dyDescent="0.2">
      <c r="A47">
        <v>524</v>
      </c>
      <c r="B47" s="13">
        <f>Messdaten!Q47-Messdaten!C47</f>
        <v>109506.29694999999</v>
      </c>
      <c r="C47">
        <f t="shared" si="0"/>
        <v>0.91306093421148271</v>
      </c>
      <c r="D47">
        <f t="shared" si="1"/>
        <v>1.8358496687998084E-2</v>
      </c>
      <c r="E47">
        <v>444</v>
      </c>
      <c r="F47" s="13">
        <f>Messdaten!T47-Messdaten!I47</f>
        <v>35036.801070000001</v>
      </c>
      <c r="G47">
        <f t="shared" si="2"/>
        <v>0.12934277138827072</v>
      </c>
      <c r="H47">
        <f t="shared" si="3"/>
        <v>9741.473814564757</v>
      </c>
      <c r="I47">
        <v>664</v>
      </c>
      <c r="J47" s="13">
        <f>Messdaten!W47-Messdaten!F47</f>
        <v>135389.79458999998</v>
      </c>
      <c r="K47">
        <f t="shared" si="4"/>
        <v>0.99023362946237159</v>
      </c>
      <c r="L47">
        <f t="shared" si="5"/>
        <v>2.1034188951645855E-2</v>
      </c>
      <c r="M47">
        <v>444</v>
      </c>
      <c r="N47" s="13">
        <f>Messdaten!Z47-Messdaten!L47</f>
        <v>501.04213000000004</v>
      </c>
      <c r="O47">
        <f t="shared" si="6"/>
        <v>1.1606078784061362E-3</v>
      </c>
      <c r="P47">
        <f t="shared" si="7"/>
        <v>182.13501402408068</v>
      </c>
      <c r="Q47">
        <v>524</v>
      </c>
      <c r="R47">
        <f>Messdaten!AE47-Messdaten!C47</f>
        <v>89887.721279999998</v>
      </c>
      <c r="S47">
        <f t="shared" si="8"/>
        <v>0.87247699102278498</v>
      </c>
      <c r="U47">
        <v>524</v>
      </c>
      <c r="V47">
        <f>Messdaten!AH47-Messdaten!C47</f>
        <v>87364.513189999998</v>
      </c>
      <c r="W47">
        <f t="shared" si="9"/>
        <v>0.87697265981202832</v>
      </c>
      <c r="Y47" s="14">
        <f>A47</f>
        <v>524</v>
      </c>
      <c r="Z47">
        <f>D47*P127*Y47^4</f>
        <v>7030594043656.4805</v>
      </c>
      <c r="AA47">
        <f>(Z47+Z48)/2*(Y48-Y47)</f>
        <v>7303250093954.9688</v>
      </c>
    </row>
    <row r="48" spans="1:27" x14ac:dyDescent="0.2">
      <c r="A48">
        <v>525</v>
      </c>
      <c r="B48" s="13">
        <f>Messdaten!Q48-Messdaten!C48</f>
        <v>106553.38430000001</v>
      </c>
      <c r="C48">
        <f t="shared" si="0"/>
        <v>0.88861537411840319</v>
      </c>
      <c r="D48">
        <f t="shared" si="1"/>
        <v>1.7863447192079829E-2</v>
      </c>
      <c r="E48">
        <v>445</v>
      </c>
      <c r="F48" s="13">
        <f>Messdaten!T48-Messdaten!I48</f>
        <v>38592.601629999997</v>
      </c>
      <c r="G48">
        <f t="shared" si="2"/>
        <v>0.14339412878664148</v>
      </c>
      <c r="H48">
        <f t="shared" si="3"/>
        <v>10730.112531205865</v>
      </c>
      <c r="I48">
        <v>665</v>
      </c>
      <c r="J48" s="13">
        <f>Messdaten!W48-Messdaten!F48</f>
        <v>134444.48355999999</v>
      </c>
      <c r="K48">
        <f t="shared" si="4"/>
        <v>0.98326006462149418</v>
      </c>
      <c r="L48">
        <f t="shared" si="5"/>
        <v>2.0887325217320025E-2</v>
      </c>
      <c r="M48">
        <v>445</v>
      </c>
      <c r="N48" s="13">
        <f>Messdaten!Z48-Messdaten!L48</f>
        <v>297.77845000000002</v>
      </c>
      <c r="O48">
        <f t="shared" si="6"/>
        <v>8.6518022025446658E-4</v>
      </c>
      <c r="P48">
        <f t="shared" si="7"/>
        <v>108.246151210516</v>
      </c>
      <c r="Q48">
        <v>525</v>
      </c>
      <c r="R48">
        <f>Messdaten!AE48-Messdaten!C48</f>
        <v>87365.909169999999</v>
      </c>
      <c r="S48">
        <f t="shared" si="8"/>
        <v>0.84803857453858</v>
      </c>
      <c r="U48">
        <v>525</v>
      </c>
      <c r="V48">
        <f>Messdaten!AH48-Messdaten!C48</f>
        <v>85330.764090000011</v>
      </c>
      <c r="W48">
        <f t="shared" si="9"/>
        <v>0.8566734741872698</v>
      </c>
      <c r="Y48" s="14">
        <f>A48</f>
        <v>525</v>
      </c>
      <c r="Z48">
        <f>D48*P128*Y48^4</f>
        <v>7575906144253.4561</v>
      </c>
      <c r="AA48">
        <f>(Z48+Z49)/2*(Y49-Y48)</f>
        <v>7629285804566.502</v>
      </c>
    </row>
    <row r="49" spans="1:27" x14ac:dyDescent="0.2">
      <c r="A49">
        <v>526</v>
      </c>
      <c r="B49" s="13">
        <f>Messdaten!Q49-Messdaten!C49</f>
        <v>104670.81941000001</v>
      </c>
      <c r="C49">
        <f t="shared" si="0"/>
        <v>0.87303064182108414</v>
      </c>
      <c r="D49">
        <f t="shared" si="1"/>
        <v>1.7547839210980926E-2</v>
      </c>
      <c r="E49">
        <v>446</v>
      </c>
      <c r="F49" s="13">
        <f>Messdaten!T49-Messdaten!I49</f>
        <v>40692.656710000003</v>
      </c>
      <c r="G49">
        <f t="shared" si="2"/>
        <v>0.15169285757849033</v>
      </c>
      <c r="H49">
        <f t="shared" si="3"/>
        <v>11314.002354083572</v>
      </c>
      <c r="I49">
        <v>666</v>
      </c>
      <c r="J49" s="13">
        <f>Messdaten!W49-Messdaten!F49</f>
        <v>134408.38001000002</v>
      </c>
      <c r="K49">
        <f t="shared" si="4"/>
        <v>0.98299372852795397</v>
      </c>
      <c r="L49">
        <f t="shared" si="5"/>
        <v>2.0881716161668347E-2</v>
      </c>
      <c r="M49">
        <v>446</v>
      </c>
      <c r="N49" s="13">
        <f>Messdaten!Z49-Messdaten!L49</f>
        <v>400.36831000000001</v>
      </c>
      <c r="O49">
        <f t="shared" si="6"/>
        <v>1.0142864555145368E-3</v>
      </c>
      <c r="P49">
        <f t="shared" si="7"/>
        <v>145.53883474159645</v>
      </c>
      <c r="Q49">
        <v>526</v>
      </c>
      <c r="R49">
        <f>Messdaten!AE49-Messdaten!C49</f>
        <v>85505.112280000001</v>
      </c>
      <c r="S49">
        <f t="shared" si="8"/>
        <v>0.83000593475149709</v>
      </c>
      <c r="U49">
        <v>526</v>
      </c>
      <c r="V49">
        <f>Messdaten!AH49-Messdaten!C49</f>
        <v>82414.039390000005</v>
      </c>
      <c r="W49">
        <f t="shared" si="9"/>
        <v>0.82756116328243967</v>
      </c>
      <c r="Y49" s="14">
        <f>A49</f>
        <v>526</v>
      </c>
      <c r="Z49">
        <f>D49*P129*Y49^4</f>
        <v>7682665464879.5479</v>
      </c>
      <c r="AA49">
        <f>(Z49+Z50)/2*(Y50-Y49)</f>
        <v>7514530559193.2695</v>
      </c>
    </row>
    <row r="50" spans="1:27" x14ac:dyDescent="0.2">
      <c r="A50">
        <v>527</v>
      </c>
      <c r="B50" s="13">
        <f>Messdaten!Q50-Messdaten!C50</f>
        <v>101281.51041</v>
      </c>
      <c r="C50">
        <f t="shared" si="0"/>
        <v>0.84497239335460272</v>
      </c>
      <c r="D50">
        <f t="shared" si="1"/>
        <v>1.6979628799487306E-2</v>
      </c>
      <c r="E50">
        <v>447</v>
      </c>
      <c r="F50" s="13">
        <f>Messdaten!T50-Messdaten!I50</f>
        <v>43273.462550000004</v>
      </c>
      <c r="G50">
        <f t="shared" si="2"/>
        <v>0.16189135567244489</v>
      </c>
      <c r="H50">
        <f t="shared" si="3"/>
        <v>12031.557945434703</v>
      </c>
      <c r="I50">
        <v>667</v>
      </c>
      <c r="J50" s="13">
        <f>Messdaten!W50-Messdaten!F50</f>
        <v>132082.52970000001</v>
      </c>
      <c r="K50">
        <f t="shared" si="4"/>
        <v>0.96583591757237885</v>
      </c>
      <c r="L50">
        <f t="shared" si="5"/>
        <v>2.0520371534165693E-2</v>
      </c>
      <c r="M50">
        <v>447</v>
      </c>
      <c r="N50" s="13">
        <f>Messdaten!Z50-Messdaten!L50</f>
        <v>307.22753</v>
      </c>
      <c r="O50">
        <f t="shared" si="6"/>
        <v>8.7891370956297353E-4</v>
      </c>
      <c r="P50">
        <f t="shared" si="7"/>
        <v>111.68100871105123</v>
      </c>
      <c r="Q50">
        <v>527</v>
      </c>
      <c r="R50">
        <f>Messdaten!AE50-Messdaten!C50</f>
        <v>82827.059469999993</v>
      </c>
      <c r="S50">
        <f t="shared" si="8"/>
        <v>0.80405341843279499</v>
      </c>
      <c r="U50">
        <v>527</v>
      </c>
      <c r="V50">
        <f>Messdaten!AH50-Messdaten!C50</f>
        <v>80158.250749999992</v>
      </c>
      <c r="W50">
        <f t="shared" si="9"/>
        <v>0.80504576434085817</v>
      </c>
      <c r="Y50" s="14">
        <f>A50</f>
        <v>527</v>
      </c>
      <c r="Z50">
        <f>D50*P130*Y50^4</f>
        <v>7346395653506.9912</v>
      </c>
      <c r="AA50">
        <f>(Z50+Z51)/2*(Y51-Y50)</f>
        <v>7472829777937.2188</v>
      </c>
    </row>
    <row r="51" spans="1:27" x14ac:dyDescent="0.2">
      <c r="A51">
        <v>528</v>
      </c>
      <c r="B51" s="13">
        <f>Messdaten!Q51-Messdaten!C51</f>
        <v>98790.692640000008</v>
      </c>
      <c r="C51">
        <f t="shared" si="0"/>
        <v>0.82435226580784127</v>
      </c>
      <c r="D51">
        <f t="shared" si="1"/>
        <v>1.6562048522785675E-2</v>
      </c>
      <c r="E51">
        <v>448</v>
      </c>
      <c r="F51" s="13">
        <f>Messdaten!T51-Messdaten!I51</f>
        <v>46550.032270000003</v>
      </c>
      <c r="G51">
        <f t="shared" si="2"/>
        <v>0.17483928438765936</v>
      </c>
      <c r="H51">
        <f t="shared" si="3"/>
        <v>12942.560581354735</v>
      </c>
      <c r="I51">
        <v>668</v>
      </c>
      <c r="J51" s="13">
        <f>Messdaten!W51-Messdaten!F51</f>
        <v>127974.18202000001</v>
      </c>
      <c r="K51">
        <f t="shared" si="4"/>
        <v>0.93552861338769311</v>
      </c>
      <c r="L51">
        <f t="shared" si="5"/>
        <v>1.9882097714178978E-2</v>
      </c>
      <c r="M51">
        <v>448</v>
      </c>
      <c r="N51" s="13">
        <f>Messdaten!Z51-Messdaten!L51</f>
        <v>519.52915000000007</v>
      </c>
      <c r="O51">
        <f t="shared" si="6"/>
        <v>1.1874772975999787E-3</v>
      </c>
      <c r="P51">
        <f t="shared" si="7"/>
        <v>188.85527454780842</v>
      </c>
      <c r="Q51">
        <v>528</v>
      </c>
      <c r="R51">
        <f>Messdaten!AE51-Messdaten!C51</f>
        <v>79530.491770000008</v>
      </c>
      <c r="S51">
        <f t="shared" si="8"/>
        <v>0.77210698828381075</v>
      </c>
      <c r="U51">
        <v>528</v>
      </c>
      <c r="V51">
        <f>Messdaten!AH51-Messdaten!C51</f>
        <v>77388.696299999996</v>
      </c>
      <c r="W51">
        <f t="shared" si="9"/>
        <v>0.77740238400528672</v>
      </c>
      <c r="Y51" s="14">
        <f>A51</f>
        <v>528</v>
      </c>
      <c r="Z51">
        <f>D51*P131*Y51^4</f>
        <v>7599263902367.4463</v>
      </c>
      <c r="AA51">
        <f>(Z51+Z52)/2*(Y52-Y51)</f>
        <v>8104785639924.2363</v>
      </c>
    </row>
    <row r="52" spans="1:27" x14ac:dyDescent="0.2">
      <c r="A52">
        <v>529</v>
      </c>
      <c r="B52" s="13">
        <f>Messdaten!Q52-Messdaten!C52</f>
        <v>95677.069570000007</v>
      </c>
      <c r="C52">
        <f t="shared" si="0"/>
        <v>0.79857627142992271</v>
      </c>
      <c r="D52">
        <f t="shared" si="1"/>
        <v>1.6040056268364279E-2</v>
      </c>
      <c r="E52">
        <v>449</v>
      </c>
      <c r="F52" s="13">
        <f>Messdaten!T52-Messdaten!I52</f>
        <v>49428.342170000004</v>
      </c>
      <c r="G52">
        <f t="shared" si="2"/>
        <v>0.18621342093601762</v>
      </c>
      <c r="H52">
        <f t="shared" si="3"/>
        <v>13742.832856926738</v>
      </c>
      <c r="I52">
        <v>669</v>
      </c>
      <c r="J52" s="13">
        <f>Messdaten!W52-Messdaten!F52</f>
        <v>125650.18871</v>
      </c>
      <c r="K52">
        <f t="shared" si="4"/>
        <v>0.91838450153167195</v>
      </c>
      <c r="L52">
        <f t="shared" si="5"/>
        <v>1.9521041590614172E-2</v>
      </c>
      <c r="M52">
        <v>449</v>
      </c>
      <c r="N52" s="13">
        <f>Messdaten!Z52-Messdaten!L52</f>
        <v>375.18453</v>
      </c>
      <c r="O52">
        <f t="shared" si="6"/>
        <v>9.7768382611804617E-4</v>
      </c>
      <c r="P52">
        <f t="shared" si="7"/>
        <v>136.38421909384769</v>
      </c>
      <c r="Q52">
        <v>529</v>
      </c>
      <c r="R52">
        <f>Messdaten!AE52-Messdaten!C52</f>
        <v>77093.538629999995</v>
      </c>
      <c r="S52">
        <f t="shared" si="8"/>
        <v>0.74849092444160348</v>
      </c>
      <c r="U52">
        <v>529</v>
      </c>
      <c r="V52">
        <f>Messdaten!AH52-Messdaten!C52</f>
        <v>74328.888649999994</v>
      </c>
      <c r="W52">
        <f t="shared" si="9"/>
        <v>0.74686193854748339</v>
      </c>
      <c r="Y52" s="14">
        <f>A52</f>
        <v>529</v>
      </c>
      <c r="Z52">
        <f>D52*P132*Y52^4</f>
        <v>8610307377481.0254</v>
      </c>
      <c r="AA52">
        <f>(Z52+Z53)/2*(Y53-Y52)</f>
        <v>8391612640597.8867</v>
      </c>
    </row>
    <row r="53" spans="1:27" x14ac:dyDescent="0.2">
      <c r="A53">
        <v>530</v>
      </c>
      <c r="B53" s="13">
        <f>Messdaten!Q53-Messdaten!C53</f>
        <v>93066.267920000013</v>
      </c>
      <c r="C53">
        <f t="shared" si="0"/>
        <v>0.77696286250426883</v>
      </c>
      <c r="D53">
        <f t="shared" si="1"/>
        <v>1.560236095056507E-2</v>
      </c>
      <c r="E53">
        <v>450</v>
      </c>
      <c r="F53" s="13">
        <f>Messdaten!T53-Messdaten!I53</f>
        <v>52148.430630000003</v>
      </c>
      <c r="G53">
        <f t="shared" si="2"/>
        <v>0.19696231825511923</v>
      </c>
      <c r="H53">
        <f t="shared" si="3"/>
        <v>14499.113958430557</v>
      </c>
      <c r="I53">
        <v>670</v>
      </c>
      <c r="J53" s="13">
        <f>Messdaten!W53-Messdaten!F53</f>
        <v>120792.77808999999</v>
      </c>
      <c r="K53">
        <f t="shared" si="4"/>
        <v>0.88255135578139232</v>
      </c>
      <c r="L53">
        <f t="shared" si="5"/>
        <v>1.8766393183721926E-2</v>
      </c>
      <c r="M53">
        <v>450</v>
      </c>
      <c r="N53" s="13">
        <f>Messdaten!Z53-Messdaten!L53</f>
        <v>69.758000000000038</v>
      </c>
      <c r="O53">
        <f t="shared" si="6"/>
        <v>5.3377055791739862E-4</v>
      </c>
      <c r="P53">
        <f t="shared" si="7"/>
        <v>25.35789616791671</v>
      </c>
      <c r="Q53">
        <v>530</v>
      </c>
      <c r="R53">
        <f>Messdaten!AE53-Messdaten!C53</f>
        <v>74429.930370000002</v>
      </c>
      <c r="S53">
        <f t="shared" si="8"/>
        <v>0.72267838759537162</v>
      </c>
      <c r="U53">
        <v>530</v>
      </c>
      <c r="V53">
        <f>Messdaten!AH53-Messdaten!C53</f>
        <v>72285.405370000008</v>
      </c>
      <c r="W53">
        <f t="shared" si="9"/>
        <v>0.72646559446462167</v>
      </c>
      <c r="Y53" s="14">
        <f>A53</f>
        <v>530</v>
      </c>
      <c r="Z53">
        <f>D53*P133*Y53^4</f>
        <v>8172917903714.7471</v>
      </c>
      <c r="AA53">
        <f>(Z53+Z54)/2*(Y54-Y53)</f>
        <v>8186003166726.6904</v>
      </c>
    </row>
    <row r="54" spans="1:27" x14ac:dyDescent="0.2">
      <c r="A54">
        <v>531</v>
      </c>
      <c r="B54" s="13">
        <f>Messdaten!Q54-Messdaten!C54</f>
        <v>89326.41713999999</v>
      </c>
      <c r="C54">
        <f t="shared" si="0"/>
        <v>0.74600266902152512</v>
      </c>
      <c r="D54">
        <f t="shared" si="1"/>
        <v>1.4975382958700489E-2</v>
      </c>
      <c r="E54">
        <v>451</v>
      </c>
      <c r="F54" s="13">
        <f>Messdaten!T54-Messdaten!I54</f>
        <v>55137.550060000001</v>
      </c>
      <c r="G54">
        <f t="shared" si="2"/>
        <v>0.20877433771701628</v>
      </c>
      <c r="H54">
        <f t="shared" si="3"/>
        <v>15330.195214900745</v>
      </c>
      <c r="I54">
        <v>671</v>
      </c>
      <c r="J54" s="13">
        <f>Messdaten!W54-Messdaten!F54</f>
        <v>117787.55957</v>
      </c>
      <c r="K54">
        <f t="shared" si="4"/>
        <v>0.86038184167953546</v>
      </c>
      <c r="L54">
        <f t="shared" si="5"/>
        <v>1.8299501758248606E-2</v>
      </c>
      <c r="M54">
        <v>451</v>
      </c>
      <c r="N54" s="13">
        <f>Messdaten!Z54-Messdaten!L54</f>
        <v>512.80880999999999</v>
      </c>
      <c r="O54">
        <f t="shared" si="6"/>
        <v>1.1777098157351271E-3</v>
      </c>
      <c r="P54">
        <f t="shared" si="7"/>
        <v>186.41234780201444</v>
      </c>
      <c r="Q54">
        <v>531</v>
      </c>
      <c r="R54">
        <f>Messdaten!AE54-Messdaten!C54</f>
        <v>71959.351459999991</v>
      </c>
      <c r="S54">
        <f t="shared" si="8"/>
        <v>0.69873646261204148</v>
      </c>
      <c r="U54">
        <v>531</v>
      </c>
      <c r="V54">
        <f>Messdaten!AH54-Messdaten!C54</f>
        <v>69725.074559999994</v>
      </c>
      <c r="W54">
        <f t="shared" si="9"/>
        <v>0.70091050983152747</v>
      </c>
      <c r="Y54" s="14">
        <f>A54</f>
        <v>531</v>
      </c>
      <c r="Z54">
        <f>D54*P134*Y54^4</f>
        <v>8199088429738.6338</v>
      </c>
      <c r="AA54">
        <f>(Z54+Z55)/2*(Y55-Y54)</f>
        <v>8199272824168.2744</v>
      </c>
    </row>
    <row r="55" spans="1:27" x14ac:dyDescent="0.2">
      <c r="A55">
        <v>532</v>
      </c>
      <c r="B55" s="13">
        <f>Messdaten!Q55-Messdaten!C55</f>
        <v>86330.338109999997</v>
      </c>
      <c r="C55">
        <f t="shared" si="0"/>
        <v>0.72119975791222402</v>
      </c>
      <c r="D55">
        <f t="shared" si="1"/>
        <v>1.4473096711414182E-2</v>
      </c>
      <c r="E55">
        <v>452</v>
      </c>
      <c r="F55" s="13">
        <f>Messdaten!T55-Messdaten!I55</f>
        <v>58719.044159999998</v>
      </c>
      <c r="G55">
        <f t="shared" si="2"/>
        <v>0.22292722755717545</v>
      </c>
      <c r="H55">
        <f t="shared" si="3"/>
        <v>16325.977647277015</v>
      </c>
      <c r="I55">
        <v>672</v>
      </c>
      <c r="J55" s="13">
        <f>Messdaten!W55-Messdaten!F55</f>
        <v>113096.79577</v>
      </c>
      <c r="K55">
        <f t="shared" si="4"/>
        <v>0.82577805046751418</v>
      </c>
      <c r="L55">
        <f t="shared" si="5"/>
        <v>1.757074363880887E-2</v>
      </c>
      <c r="M55">
        <v>452</v>
      </c>
      <c r="N55" s="13">
        <f>Messdaten!Z55-Messdaten!L55</f>
        <v>322.22363000000001</v>
      </c>
      <c r="O55">
        <f t="shared" si="6"/>
        <v>9.0070935305623428E-4</v>
      </c>
      <c r="P55">
        <f t="shared" si="7"/>
        <v>117.13227661901443</v>
      </c>
      <c r="Q55">
        <v>532</v>
      </c>
      <c r="R55">
        <f>Messdaten!AE55-Messdaten!C55</f>
        <v>68946.845480000004</v>
      </c>
      <c r="S55">
        <f t="shared" si="8"/>
        <v>0.66954282224983475</v>
      </c>
      <c r="U55">
        <v>532</v>
      </c>
      <c r="V55">
        <f>Messdaten!AH55-Messdaten!C55</f>
        <v>66904.122730000003</v>
      </c>
      <c r="W55">
        <f t="shared" si="9"/>
        <v>0.67275412375830324</v>
      </c>
      <c r="Y55" s="14">
        <f>A55</f>
        <v>532</v>
      </c>
      <c r="Z55">
        <f>D55*P135*Y55^4</f>
        <v>8199457218597.915</v>
      </c>
      <c r="AA55">
        <f>(Z55+Z56)/2*(Y56-Y55)</f>
        <v>8197095280024.1279</v>
      </c>
    </row>
    <row r="56" spans="1:27" x14ac:dyDescent="0.2">
      <c r="A56">
        <v>533</v>
      </c>
      <c r="B56" s="13">
        <f>Messdaten!Q56-Messdaten!C56</f>
        <v>83350.14417</v>
      </c>
      <c r="C56">
        <f t="shared" si="0"/>
        <v>0.69652835083578979</v>
      </c>
      <c r="D56">
        <f t="shared" si="1"/>
        <v>1.3973473565522736E-2</v>
      </c>
      <c r="E56">
        <v>453</v>
      </c>
      <c r="F56" s="13">
        <f>Messdaten!T56-Messdaten!I56</f>
        <v>61667.188520000003</v>
      </c>
      <c r="G56">
        <f t="shared" si="2"/>
        <v>0.234577326983548</v>
      </c>
      <c r="H56">
        <f t="shared" si="3"/>
        <v>17145.666380478389</v>
      </c>
      <c r="I56">
        <v>673</v>
      </c>
      <c r="J56" s="13">
        <f>Messdaten!W56-Messdaten!F56</f>
        <v>107695.18304999999</v>
      </c>
      <c r="K56">
        <f t="shared" si="4"/>
        <v>0.78593032273262398</v>
      </c>
      <c r="L56">
        <f t="shared" si="5"/>
        <v>1.6731547871209368E-2</v>
      </c>
      <c r="M56">
        <v>453</v>
      </c>
      <c r="N56" s="13">
        <f>Messdaten!Z56-Messdaten!L56</f>
        <v>776.84628999999995</v>
      </c>
      <c r="O56">
        <f t="shared" si="6"/>
        <v>1.5614673782306414E-3</v>
      </c>
      <c r="P56">
        <f t="shared" si="7"/>
        <v>282.39323891526851</v>
      </c>
      <c r="Q56">
        <v>533</v>
      </c>
      <c r="R56">
        <f>Messdaten!AE56-Messdaten!C56</f>
        <v>66564.5481</v>
      </c>
      <c r="S56">
        <f t="shared" si="8"/>
        <v>0.64645641730681513</v>
      </c>
      <c r="U56">
        <v>533</v>
      </c>
      <c r="V56">
        <f>Messdaten!AH56-Messdaten!C56</f>
        <v>64602.962879999999</v>
      </c>
      <c r="W56">
        <f t="shared" si="9"/>
        <v>0.64978586727701371</v>
      </c>
      <c r="Y56" s="14">
        <f>A56</f>
        <v>533</v>
      </c>
      <c r="Z56">
        <f>D56*P136*Y56^4</f>
        <v>8194733341450.3408</v>
      </c>
      <c r="AA56">
        <f>(Z56+Z57)/2*(Y57-Y56)</f>
        <v>8503919683480.1875</v>
      </c>
    </row>
    <row r="57" spans="1:27" x14ac:dyDescent="0.2">
      <c r="A57">
        <v>534</v>
      </c>
      <c r="B57" s="13">
        <f>Messdaten!Q57-Messdaten!C57</f>
        <v>80134.037960000001</v>
      </c>
      <c r="C57">
        <f t="shared" si="0"/>
        <v>0.66990395420073134</v>
      </c>
      <c r="D57">
        <f t="shared" si="1"/>
        <v>1.343430023166876E-2</v>
      </c>
      <c r="E57">
        <v>454</v>
      </c>
      <c r="F57" s="13">
        <f>Messdaten!T57-Messdaten!I57</f>
        <v>65568.925709999996</v>
      </c>
      <c r="G57">
        <f t="shared" si="2"/>
        <v>0.24999571246555174</v>
      </c>
      <c r="H57">
        <f t="shared" si="3"/>
        <v>18230.487754203717</v>
      </c>
      <c r="I57">
        <v>674</v>
      </c>
      <c r="J57" s="13">
        <f>Messdaten!W57-Messdaten!F57</f>
        <v>103411.09776999999</v>
      </c>
      <c r="K57">
        <f t="shared" si="4"/>
        <v>0.75432660127395368</v>
      </c>
      <c r="L57">
        <f t="shared" si="5"/>
        <v>1.6065971418143827E-2</v>
      </c>
      <c r="M57">
        <v>454</v>
      </c>
      <c r="N57" s="13">
        <f>Messdaten!Z57-Messdaten!L57</f>
        <v>626.19317000000001</v>
      </c>
      <c r="O57">
        <f t="shared" si="6"/>
        <v>1.3425050017015811E-3</v>
      </c>
      <c r="P57">
        <f t="shared" si="7"/>
        <v>227.62896565151826</v>
      </c>
      <c r="Q57">
        <v>534</v>
      </c>
      <c r="R57">
        <f>Messdaten!AE57-Messdaten!C57</f>
        <v>64146.556409999997</v>
      </c>
      <c r="S57">
        <f t="shared" si="8"/>
        <v>0.62302410538268571</v>
      </c>
      <c r="U57">
        <v>534</v>
      </c>
      <c r="V57">
        <f>Messdaten!AH57-Messdaten!C57</f>
        <v>62050.459019999995</v>
      </c>
      <c r="W57">
        <f t="shared" si="9"/>
        <v>0.6243089047244289</v>
      </c>
      <c r="Y57" s="14">
        <f>A57</f>
        <v>534</v>
      </c>
      <c r="Z57">
        <f>D57*P137*Y57^4</f>
        <v>8813106025510.0352</v>
      </c>
      <c r="AA57">
        <f>(Z57+Z58)/2*(Y58-Y57)</f>
        <v>8724504689229.0664</v>
      </c>
    </row>
    <row r="58" spans="1:27" x14ac:dyDescent="0.2">
      <c r="A58">
        <v>535</v>
      </c>
      <c r="B58" s="13">
        <f>Messdaten!Q58-Messdaten!C58</f>
        <v>77244.585070000001</v>
      </c>
      <c r="C58">
        <f t="shared" si="0"/>
        <v>0.64598374299549377</v>
      </c>
      <c r="D58">
        <f t="shared" si="1"/>
        <v>1.2949889628912171E-2</v>
      </c>
      <c r="E58">
        <v>455</v>
      </c>
      <c r="F58" s="13">
        <f>Messdaten!T58-Messdaten!I58</f>
        <v>68170.613359999988</v>
      </c>
      <c r="G58">
        <f t="shared" si="2"/>
        <v>0.26027672862273388</v>
      </c>
      <c r="H58">
        <f t="shared" si="3"/>
        <v>18953.849229628264</v>
      </c>
      <c r="I58">
        <v>675</v>
      </c>
      <c r="J58" s="13">
        <f>Messdaten!W58-Messdaten!F58</f>
        <v>99863.757280000005</v>
      </c>
      <c r="K58">
        <f t="shared" si="4"/>
        <v>0.72815785031831848</v>
      </c>
      <c r="L58">
        <f t="shared" si="5"/>
        <v>1.5514855801428097E-2</v>
      </c>
      <c r="M58">
        <v>455</v>
      </c>
      <c r="N58" s="13">
        <f>Messdaten!Z58-Messdaten!L58</f>
        <v>541.84784999999999</v>
      </c>
      <c r="O58">
        <f t="shared" si="6"/>
        <v>1.2199157601624475E-3</v>
      </c>
      <c r="P58">
        <f t="shared" si="7"/>
        <v>196.96839816377909</v>
      </c>
      <c r="Q58">
        <v>535</v>
      </c>
      <c r="R58">
        <f>Messdaten!AE58-Messdaten!C58</f>
        <v>61670.049910000002</v>
      </c>
      <c r="S58">
        <f t="shared" si="8"/>
        <v>0.59902473721689453</v>
      </c>
      <c r="U58">
        <v>535</v>
      </c>
      <c r="V58">
        <f>Messdaten!AH58-Messdaten!C58</f>
        <v>59718.790119999998</v>
      </c>
      <c r="W58">
        <f t="shared" si="9"/>
        <v>0.60103613237675979</v>
      </c>
      <c r="Y58" s="14">
        <f>A58</f>
        <v>535</v>
      </c>
      <c r="Z58">
        <f>D58*P138*Y58^4</f>
        <v>8635903352948.0977</v>
      </c>
      <c r="AA58">
        <f>(Z58+Z59)/2*(Y59-Y58)</f>
        <v>8854961313975.1797</v>
      </c>
    </row>
    <row r="59" spans="1:27" x14ac:dyDescent="0.2">
      <c r="A59">
        <v>536</v>
      </c>
      <c r="B59" s="13">
        <f>Messdaten!Q59-Messdaten!C59</f>
        <v>75439.75851</v>
      </c>
      <c r="C59">
        <f t="shared" si="0"/>
        <v>0.63104256411230997</v>
      </c>
      <c r="D59">
        <f t="shared" si="1"/>
        <v>1.2647314312724648E-2</v>
      </c>
      <c r="E59">
        <v>456</v>
      </c>
      <c r="F59" s="13">
        <f>Messdaten!T59-Messdaten!I59</f>
        <v>71802.044290000005</v>
      </c>
      <c r="G59">
        <f t="shared" si="2"/>
        <v>0.27462695243419766</v>
      </c>
      <c r="H59">
        <f t="shared" si="3"/>
        <v>19963.515872519518</v>
      </c>
      <c r="I59">
        <v>676</v>
      </c>
      <c r="J59" s="13">
        <f>Messdaten!W59-Messdaten!F59</f>
        <v>93770.263420000003</v>
      </c>
      <c r="K59">
        <f t="shared" si="4"/>
        <v>0.68320611148142074</v>
      </c>
      <c r="L59">
        <f t="shared" si="5"/>
        <v>1.4568169224237582E-2</v>
      </c>
      <c r="M59">
        <v>456</v>
      </c>
      <c r="N59" s="13">
        <f>Messdaten!Z59-Messdaten!L59</f>
        <v>518.89380000000006</v>
      </c>
      <c r="O59">
        <f t="shared" si="6"/>
        <v>1.1865538667017155E-3</v>
      </c>
      <c r="P59">
        <f t="shared" si="7"/>
        <v>188.6243169611476</v>
      </c>
      <c r="Q59">
        <v>536</v>
      </c>
      <c r="R59">
        <f>Messdaten!AE59-Messdaten!C59</f>
        <v>59391.545689999999</v>
      </c>
      <c r="S59">
        <f t="shared" si="8"/>
        <v>0.57694417266231368</v>
      </c>
      <c r="U59">
        <v>536</v>
      </c>
      <c r="V59">
        <f>Messdaten!AH59-Messdaten!C59</f>
        <v>57177.525010000005</v>
      </c>
      <c r="W59">
        <f t="shared" si="9"/>
        <v>0.57567134564391631</v>
      </c>
      <c r="Y59" s="14">
        <f>A59</f>
        <v>536</v>
      </c>
      <c r="Z59">
        <f>D59*P139*Y59^4</f>
        <v>9074019275002.2617</v>
      </c>
      <c r="AA59">
        <f>(Z59+Z60)/2*(Y60-Y59)</f>
        <v>9288993592761.4727</v>
      </c>
    </row>
    <row r="60" spans="1:27" x14ac:dyDescent="0.2">
      <c r="A60">
        <v>537</v>
      </c>
      <c r="B60" s="13">
        <f>Messdaten!Q60-Messdaten!C60</f>
        <v>72472.20855000001</v>
      </c>
      <c r="C60">
        <f t="shared" si="0"/>
        <v>0.60647582967931002</v>
      </c>
      <c r="D60">
        <f t="shared" si="1"/>
        <v>1.2149810903062245E-2</v>
      </c>
      <c r="E60">
        <v>457</v>
      </c>
      <c r="F60" s="13">
        <f>Messdaten!T60-Messdaten!I60</f>
        <v>74897.316560000007</v>
      </c>
      <c r="G60">
        <f t="shared" si="2"/>
        <v>0.28685845309829466</v>
      </c>
      <c r="H60">
        <f t="shared" si="3"/>
        <v>20824.11138484702</v>
      </c>
      <c r="I60">
        <v>677</v>
      </c>
      <c r="J60" s="13">
        <f>Messdaten!W60-Messdaten!F60</f>
        <v>90479.735670000009</v>
      </c>
      <c r="K60">
        <f t="shared" si="4"/>
        <v>0.65893186956833139</v>
      </c>
      <c r="L60">
        <f t="shared" si="5"/>
        <v>1.405695209259385E-2</v>
      </c>
      <c r="M60">
        <v>457</v>
      </c>
      <c r="N60" s="13">
        <f>Messdaten!Z60-Messdaten!L60</f>
        <v>726.53769999999997</v>
      </c>
      <c r="O60">
        <f t="shared" si="6"/>
        <v>1.4883478276615852E-3</v>
      </c>
      <c r="P60">
        <f t="shared" si="7"/>
        <v>264.10544394445094</v>
      </c>
      <c r="Q60">
        <v>537</v>
      </c>
      <c r="R60">
        <f>Messdaten!AE60-Messdaten!C60</f>
        <v>57431.851199999997</v>
      </c>
      <c r="S60">
        <f t="shared" si="8"/>
        <v>0.55795313445668704</v>
      </c>
      <c r="U60">
        <v>537</v>
      </c>
      <c r="V60">
        <f>Messdaten!AH60-Messdaten!C60</f>
        <v>55459.434009999997</v>
      </c>
      <c r="W60">
        <f t="shared" si="9"/>
        <v>0.55852279564370855</v>
      </c>
      <c r="Y60" s="14">
        <f>A60</f>
        <v>537</v>
      </c>
      <c r="Z60">
        <f>D60*P140*Y60^4</f>
        <v>9503967910520.6816</v>
      </c>
      <c r="AA60">
        <f>(Z60+Z61)/2*(Y61-Y60)</f>
        <v>9550448141445.2949</v>
      </c>
    </row>
    <row r="61" spans="1:27" x14ac:dyDescent="0.2">
      <c r="A61">
        <v>538</v>
      </c>
      <c r="B61" s="13">
        <f>Messdaten!Q61-Messdaten!C61</f>
        <v>70041.279769999994</v>
      </c>
      <c r="C61">
        <f t="shared" si="0"/>
        <v>0.58635149055485691</v>
      </c>
      <c r="D61">
        <f t="shared" si="1"/>
        <v>1.1742270887561889E-2</v>
      </c>
      <c r="E61">
        <v>458</v>
      </c>
      <c r="F61" s="13">
        <f>Messdaten!T61-Messdaten!I61</f>
        <v>78974.21067</v>
      </c>
      <c r="G61">
        <f t="shared" si="2"/>
        <v>0.30296900127114346</v>
      </c>
      <c r="H61">
        <f t="shared" si="3"/>
        <v>21957.632596956875</v>
      </c>
      <c r="I61">
        <v>678</v>
      </c>
      <c r="J61" s="13">
        <f>Messdaten!W61-Messdaten!F61</f>
        <v>85791.882709999991</v>
      </c>
      <c r="K61">
        <f t="shared" si="4"/>
        <v>0.62434955163953332</v>
      </c>
      <c r="L61">
        <f t="shared" si="5"/>
        <v>1.3328646201911482E-2</v>
      </c>
      <c r="M61">
        <v>458</v>
      </c>
      <c r="N61" s="13">
        <f>Messdaten!Z61-Messdaten!L61</f>
        <v>760.47296000000006</v>
      </c>
      <c r="O61">
        <f t="shared" si="6"/>
        <v>1.5376700400242071E-3</v>
      </c>
      <c r="P61">
        <f t="shared" si="7"/>
        <v>276.44133086080836</v>
      </c>
      <c r="Q61">
        <v>538</v>
      </c>
      <c r="R61">
        <f>Messdaten!AE61-Messdaten!C61</f>
        <v>55521.666949999999</v>
      </c>
      <c r="S61">
        <f t="shared" si="8"/>
        <v>0.53944189086405125</v>
      </c>
      <c r="U61">
        <v>538</v>
      </c>
      <c r="V61">
        <f>Messdaten!AH61-Messdaten!C61</f>
        <v>53749.055289999997</v>
      </c>
      <c r="W61">
        <f t="shared" si="9"/>
        <v>0.54145122318380334</v>
      </c>
      <c r="Y61" s="14">
        <f>A61</f>
        <v>538</v>
      </c>
      <c r="Z61">
        <f>D61*P141*Y61^4</f>
        <v>9596928372369.9082</v>
      </c>
      <c r="AA61">
        <f>(Z61+Z62)/2*(Y62-Y61)</f>
        <v>9546049999141.9648</v>
      </c>
    </row>
    <row r="62" spans="1:27" x14ac:dyDescent="0.2">
      <c r="A62">
        <v>539</v>
      </c>
      <c r="B62" s="13">
        <f>Messdaten!Q62-Messdaten!C62</f>
        <v>67658.319950000005</v>
      </c>
      <c r="C62">
        <f t="shared" si="0"/>
        <v>0.56662426039814906</v>
      </c>
      <c r="D62">
        <f t="shared" si="1"/>
        <v>1.1342772765704319E-2</v>
      </c>
      <c r="E62">
        <v>459</v>
      </c>
      <c r="F62" s="13">
        <f>Messdaten!T62-Messdaten!I62</f>
        <v>82534.223559999999</v>
      </c>
      <c r="G62">
        <f t="shared" si="2"/>
        <v>0.31703700441589711</v>
      </c>
      <c r="H62">
        <f t="shared" si="3"/>
        <v>22947.442490792822</v>
      </c>
      <c r="I62">
        <v>679</v>
      </c>
      <c r="J62" s="13">
        <f>Messdaten!W62-Messdaten!F62</f>
        <v>79500.614100000006</v>
      </c>
      <c r="K62">
        <f t="shared" si="4"/>
        <v>0.57793882734785551</v>
      </c>
      <c r="L62">
        <f t="shared" si="5"/>
        <v>1.2351233295059549E-2</v>
      </c>
      <c r="M62">
        <v>459</v>
      </c>
      <c r="N62" s="13">
        <f>Messdaten!Z62-Messdaten!L62</f>
        <v>570.09836000000007</v>
      </c>
      <c r="O62">
        <f t="shared" si="6"/>
        <v>1.2609756386950527E-3</v>
      </c>
      <c r="P62">
        <f t="shared" si="7"/>
        <v>207.23780811347223</v>
      </c>
      <c r="Q62">
        <v>539</v>
      </c>
      <c r="R62">
        <f>Messdaten!AE62-Messdaten!C62</f>
        <v>53198.696210000002</v>
      </c>
      <c r="S62">
        <f t="shared" si="8"/>
        <v>0.51693040945763447</v>
      </c>
      <c r="U62">
        <v>539</v>
      </c>
      <c r="V62">
        <f>Messdaten!AH62-Messdaten!C62</f>
        <v>51486.57116</v>
      </c>
      <c r="W62">
        <f t="shared" si="9"/>
        <v>0.51886899545082454</v>
      </c>
      <c r="Y62" s="14">
        <f>A62</f>
        <v>539</v>
      </c>
      <c r="Z62">
        <f>D62*P142*Y62^4</f>
        <v>9495171625914.0195</v>
      </c>
      <c r="AA62">
        <f>(Z62+Z63)/2*(Y63-Y62)</f>
        <v>9606578106430.3164</v>
      </c>
    </row>
    <row r="63" spans="1:27" x14ac:dyDescent="0.2">
      <c r="A63">
        <v>540</v>
      </c>
      <c r="B63" s="13">
        <f>Messdaten!Q63-Messdaten!C63</f>
        <v>65547.464439999996</v>
      </c>
      <c r="C63">
        <f t="shared" si="0"/>
        <v>0.54914963404321326</v>
      </c>
      <c r="D63">
        <f t="shared" si="1"/>
        <v>1.0988892349979261E-2</v>
      </c>
      <c r="E63">
        <v>460</v>
      </c>
      <c r="F63" s="13">
        <f>Messdaten!T63-Messdaten!I63</f>
        <v>85382.264490000001</v>
      </c>
      <c r="G63">
        <f t="shared" si="2"/>
        <v>0.32829152792399241</v>
      </c>
      <c r="H63">
        <f t="shared" si="3"/>
        <v>23739.29891875192</v>
      </c>
      <c r="I63">
        <v>680</v>
      </c>
      <c r="J63" s="13">
        <f>Messdaten!W63-Messdaten!F63</f>
        <v>76191.314159999994</v>
      </c>
      <c r="K63">
        <f t="shared" si="4"/>
        <v>0.55352610288244641</v>
      </c>
      <c r="L63">
        <f t="shared" si="5"/>
        <v>1.1837099711753471E-2</v>
      </c>
      <c r="M63">
        <v>460</v>
      </c>
      <c r="N63" s="13">
        <f>Messdaten!Z63-Messdaten!L63</f>
        <v>909.88615000000004</v>
      </c>
      <c r="O63">
        <f t="shared" si="6"/>
        <v>1.7548302765144175E-3</v>
      </c>
      <c r="P63">
        <f t="shared" si="7"/>
        <v>330.75487422697728</v>
      </c>
      <c r="Q63">
        <v>540</v>
      </c>
      <c r="R63">
        <f>Messdaten!AE63-Messdaten!C63</f>
        <v>51213.702819999999</v>
      </c>
      <c r="S63">
        <f t="shared" si="8"/>
        <v>0.49769420427373035</v>
      </c>
      <c r="U63">
        <v>540</v>
      </c>
      <c r="V63">
        <f>Messdaten!AH63-Messdaten!C63</f>
        <v>50208.476820000003</v>
      </c>
      <c r="W63">
        <f t="shared" si="9"/>
        <v>0.50611212477606271</v>
      </c>
      <c r="Y63" s="14">
        <f>A63</f>
        <v>540</v>
      </c>
      <c r="Z63">
        <f>D63*P143*Y63^4</f>
        <v>9717984586946.6133</v>
      </c>
      <c r="AA63">
        <f>(Z63+Z64)/2*(Y64-Y63)</f>
        <v>9735421444845.8281</v>
      </c>
    </row>
    <row r="64" spans="1:27" x14ac:dyDescent="0.2">
      <c r="A64">
        <v>541</v>
      </c>
      <c r="B64" s="13">
        <f>Messdaten!Q64-Messdaten!C64</f>
        <v>63096.66418</v>
      </c>
      <c r="C64">
        <f t="shared" si="0"/>
        <v>0.52886078972810446</v>
      </c>
      <c r="D64">
        <f t="shared" si="1"/>
        <v>1.0578020923318762E-2</v>
      </c>
      <c r="E64">
        <v>461</v>
      </c>
      <c r="F64" s="13">
        <f>Messdaten!T64-Messdaten!I64</f>
        <v>88798.065360000008</v>
      </c>
      <c r="G64">
        <f t="shared" si="2"/>
        <v>0.34178965247179771</v>
      </c>
      <c r="H64">
        <f t="shared" si="3"/>
        <v>24689.012754338466</v>
      </c>
      <c r="I64">
        <v>681</v>
      </c>
      <c r="J64" s="13">
        <f>Messdaten!W64-Messdaten!F64</f>
        <v>72754.503660000002</v>
      </c>
      <c r="K64">
        <f t="shared" si="4"/>
        <v>0.52817273229122574</v>
      </c>
      <c r="L64">
        <f t="shared" si="5"/>
        <v>1.1303156059154563E-2</v>
      </c>
      <c r="M64">
        <v>461</v>
      </c>
      <c r="N64" s="13">
        <f>Messdaten!Z64-Messdaten!L64</f>
        <v>595.42875000000004</v>
      </c>
      <c r="O64">
        <f t="shared" si="6"/>
        <v>1.2977913541134122E-3</v>
      </c>
      <c r="P64">
        <f t="shared" si="7"/>
        <v>216.44571831033616</v>
      </c>
      <c r="Q64">
        <v>541</v>
      </c>
      <c r="R64">
        <f>Messdaten!AE64-Messdaten!C64</f>
        <v>50177.522519999999</v>
      </c>
      <c r="S64">
        <f t="shared" si="8"/>
        <v>0.48765277191494594</v>
      </c>
      <c r="U64">
        <v>541</v>
      </c>
      <c r="V64">
        <f>Messdaten!AH64-Messdaten!C64</f>
        <v>48246.83754</v>
      </c>
      <c r="W64">
        <f t="shared" si="9"/>
        <v>0.48653267917309329</v>
      </c>
      <c r="Y64" s="14">
        <f>A64</f>
        <v>541</v>
      </c>
      <c r="Z64">
        <f>D64*P144*Y64^4</f>
        <v>9752858302745.0449</v>
      </c>
      <c r="AA64">
        <f>(Z64+Z65)/2*(Y65-Y64)</f>
        <v>9874871805215.2422</v>
      </c>
    </row>
    <row r="65" spans="1:27" x14ac:dyDescent="0.2">
      <c r="A65">
        <v>542</v>
      </c>
      <c r="B65" s="13">
        <f>Messdaten!Q65-Messdaten!C65</f>
        <v>61003.23184</v>
      </c>
      <c r="C65">
        <f t="shared" si="0"/>
        <v>0.51153040033501951</v>
      </c>
      <c r="D65">
        <f t="shared" si="1"/>
        <v>1.0227061464813959E-2</v>
      </c>
      <c r="E65">
        <v>462</v>
      </c>
      <c r="F65" s="13">
        <f>Messdaten!T65-Messdaten!I65</f>
        <v>91807.266490000009</v>
      </c>
      <c r="G65">
        <f t="shared" si="2"/>
        <v>0.35368102822466368</v>
      </c>
      <c r="H65">
        <f t="shared" si="3"/>
        <v>25525.677435913913</v>
      </c>
      <c r="I65">
        <v>682</v>
      </c>
      <c r="J65" s="13">
        <f>Messdaten!W65-Messdaten!F65</f>
        <v>68434.532340000005</v>
      </c>
      <c r="K65">
        <f t="shared" si="4"/>
        <v>0.49630427931152127</v>
      </c>
      <c r="L65">
        <f t="shared" si="5"/>
        <v>1.063200434283988E-2</v>
      </c>
      <c r="M65">
        <v>462</v>
      </c>
      <c r="N65" s="13">
        <f>Messdaten!Z65-Messdaten!L65</f>
        <v>1009.1842599999999</v>
      </c>
      <c r="O65">
        <f t="shared" si="6"/>
        <v>1.8991522138924418E-3</v>
      </c>
      <c r="P65">
        <f t="shared" si="7"/>
        <v>366.8509659017725</v>
      </c>
      <c r="Q65">
        <v>542</v>
      </c>
      <c r="R65">
        <f>Messdaten!AE65-Messdaten!C65</f>
        <v>48361.937020000005</v>
      </c>
      <c r="S65">
        <f t="shared" si="8"/>
        <v>0.47005826737761802</v>
      </c>
      <c r="U65">
        <v>542</v>
      </c>
      <c r="V65">
        <f>Messdaten!AH65-Messdaten!C65</f>
        <v>46778.607380000001</v>
      </c>
      <c r="W65">
        <f t="shared" si="9"/>
        <v>0.47187803147947704</v>
      </c>
      <c r="Y65" s="14">
        <f>A65</f>
        <v>542</v>
      </c>
      <c r="Z65">
        <f>D65*P145*Y65^4</f>
        <v>9996885307685.4395</v>
      </c>
      <c r="AA65">
        <f>(Z65+Z66)/2*(Y66-Y65)</f>
        <v>10063493132983.441</v>
      </c>
    </row>
    <row r="66" spans="1:27" x14ac:dyDescent="0.2">
      <c r="A66">
        <v>543</v>
      </c>
      <c r="B66" s="13">
        <f>Messdaten!Q66-Messdaten!C66</f>
        <v>59212.216099999998</v>
      </c>
      <c r="C66">
        <f t="shared" si="0"/>
        <v>0.49670355372991531</v>
      </c>
      <c r="D66">
        <f t="shared" si="1"/>
        <v>9.9268015030881465E-3</v>
      </c>
      <c r="E66">
        <v>463</v>
      </c>
      <c r="F66" s="13">
        <f>Messdaten!T66-Messdaten!I66</f>
        <v>94192.756079999992</v>
      </c>
      <c r="G66">
        <f t="shared" si="2"/>
        <v>0.36310770056850933</v>
      </c>
      <c r="H66">
        <f t="shared" si="3"/>
        <v>26188.928179880921</v>
      </c>
      <c r="I66">
        <v>683</v>
      </c>
      <c r="J66" s="13">
        <f>Messdaten!W66-Messdaten!F66</f>
        <v>65149.281510000001</v>
      </c>
      <c r="K66">
        <f t="shared" si="4"/>
        <v>0.47206896526726266</v>
      </c>
      <c r="L66">
        <f t="shared" si="5"/>
        <v>1.0121607034674709E-2</v>
      </c>
      <c r="M66">
        <v>463</v>
      </c>
      <c r="N66" s="13">
        <f>Messdaten!Z66-Messdaten!L66</f>
        <v>771.24183000000005</v>
      </c>
      <c r="O66">
        <f t="shared" si="6"/>
        <v>1.5533217395557702E-3</v>
      </c>
      <c r="P66">
        <f t="shared" si="7"/>
        <v>280.35594835709253</v>
      </c>
      <c r="Q66">
        <v>543</v>
      </c>
      <c r="R66">
        <f>Messdaten!AE66-Messdaten!C66</f>
        <v>46506.312959999996</v>
      </c>
      <c r="S66">
        <f t="shared" si="8"/>
        <v>0.45207575653290971</v>
      </c>
      <c r="U66">
        <v>543</v>
      </c>
      <c r="V66">
        <f>Messdaten!AH66-Messdaten!C66</f>
        <v>45107.628359999995</v>
      </c>
      <c r="W66">
        <f t="shared" si="9"/>
        <v>0.45519971393182213</v>
      </c>
      <c r="Y66" s="14">
        <f>A66</f>
        <v>543</v>
      </c>
      <c r="Z66">
        <f>D66*P146*Y66^4</f>
        <v>10130100958281.441</v>
      </c>
      <c r="AA66">
        <f>(Z66+Z67)/2*(Y67-Y66)</f>
        <v>10173770094606.211</v>
      </c>
    </row>
    <row r="67" spans="1:27" x14ac:dyDescent="0.2">
      <c r="A67">
        <v>544</v>
      </c>
      <c r="B67" s="13">
        <f>Messdaten!Q67-Messdaten!C67</f>
        <v>57393.303339999999</v>
      </c>
      <c r="C67">
        <f t="shared" ref="C67:C130" si="10">(B67-MIN(B:B))/(MAX(B:B)-MIN(B:B))</f>
        <v>0.48164576284719163</v>
      </c>
      <c r="D67">
        <f t="shared" si="1"/>
        <v>9.6218646655703531E-3</v>
      </c>
      <c r="E67">
        <v>464</v>
      </c>
      <c r="F67" s="13">
        <f>Messdaten!T67-Messdaten!I67</f>
        <v>98056.355660000001</v>
      </c>
      <c r="G67">
        <f t="shared" si="2"/>
        <v>0.37837537872613225</v>
      </c>
      <c r="H67">
        <f t="shared" si="3"/>
        <v>27263.145944891436</v>
      </c>
      <c r="I67">
        <v>684</v>
      </c>
      <c r="J67" s="13">
        <f>Messdaten!W67-Messdaten!F67</f>
        <v>62048.752700000005</v>
      </c>
      <c r="K67">
        <f t="shared" si="4"/>
        <v>0.44919634661439062</v>
      </c>
      <c r="L67">
        <f t="shared" si="5"/>
        <v>9.6399081811011575E-3</v>
      </c>
      <c r="M67">
        <v>464</v>
      </c>
      <c r="N67" s="13">
        <f>Messdaten!Z67-Messdaten!L67</f>
        <v>1061.86807</v>
      </c>
      <c r="O67">
        <f t="shared" si="6"/>
        <v>1.9757239585878423E-3</v>
      </c>
      <c r="P67">
        <f t="shared" si="7"/>
        <v>386.00218273296394</v>
      </c>
      <c r="Q67">
        <v>544</v>
      </c>
      <c r="R67">
        <f>Messdaten!AE67-Messdaten!C67</f>
        <v>44942.421900000001</v>
      </c>
      <c r="S67">
        <f t="shared" si="8"/>
        <v>0.43692037643593462</v>
      </c>
      <c r="U67">
        <v>544</v>
      </c>
      <c r="V67">
        <f>Messdaten!AH67-Messdaten!C67</f>
        <v>43857.94571</v>
      </c>
      <c r="W67">
        <f t="shared" si="9"/>
        <v>0.44272642502691728</v>
      </c>
      <c r="Y67" s="14">
        <f>A67</f>
        <v>544</v>
      </c>
      <c r="Z67">
        <f>D67*P147*Y67^4</f>
        <v>10217439230930.982</v>
      </c>
      <c r="AA67">
        <f>(Z67+Z68)/2*(Y68-Y67)</f>
        <v>10236744974185.43</v>
      </c>
    </row>
    <row r="68" spans="1:27" x14ac:dyDescent="0.2">
      <c r="A68">
        <v>545</v>
      </c>
      <c r="B68" s="13">
        <f>Messdaten!Q68-Messdaten!C68</f>
        <v>55053.420639999997</v>
      </c>
      <c r="C68">
        <f t="shared" si="10"/>
        <v>0.4622751447716425</v>
      </c>
      <c r="D68">
        <f t="shared" ref="D68:D131" si="11">B68/SUM(B:B)</f>
        <v>9.2295883308325631E-3</v>
      </c>
      <c r="E68">
        <v>465</v>
      </c>
      <c r="F68" s="13">
        <f>Messdaten!T68-Messdaten!I68</f>
        <v>101775.85055999999</v>
      </c>
      <c r="G68">
        <f t="shared" ref="G68:G113" si="12">(F68-MIN(F:F))/(MAX(F:F)-MIN(F:F))</f>
        <v>0.39307360245927586</v>
      </c>
      <c r="H68">
        <f t="shared" ref="H68:H113" si="13">F68/MAX(F:F)*71000</f>
        <v>28297.297495981005</v>
      </c>
      <c r="I68">
        <v>685</v>
      </c>
      <c r="J68" s="13">
        <f>Messdaten!W68-Messdaten!F68</f>
        <v>58373.149619999997</v>
      </c>
      <c r="K68">
        <f t="shared" ref="K68:K131" si="14">(J68-MIN(J:J))/(MAX(J:J)-MIN(J:J))</f>
        <v>0.42208140180335946</v>
      </c>
      <c r="L68">
        <f t="shared" ref="L68:L131" si="15">J68/SUM(J:J)</f>
        <v>9.0688656595425791E-3</v>
      </c>
      <c r="M68">
        <v>465</v>
      </c>
      <c r="N68" s="13">
        <f>Messdaten!Z68-Messdaten!L68</f>
        <v>946.21877000000006</v>
      </c>
      <c r="O68">
        <f t="shared" ref="O68:O131" si="16">(N68-MIN(N:N))/(MAX(N:N)-MIN(N:N))</f>
        <v>1.8076368617396508E-3</v>
      </c>
      <c r="P68">
        <f t="shared" ref="P68:P131" si="17">N68/MAX(N:N)*250000</f>
        <v>343.96223116766328</v>
      </c>
      <c r="Q68">
        <v>545</v>
      </c>
      <c r="R68">
        <f>Messdaten!AE68-Messdaten!C68</f>
        <v>43708.32531</v>
      </c>
      <c r="S68">
        <f t="shared" ref="S68:S131" si="18">(R68-MIN(R:R))/(MAX(R:R)-MIN(R:R))</f>
        <v>0.42496097377918507</v>
      </c>
      <c r="U68">
        <v>545</v>
      </c>
      <c r="V68">
        <f>Messdaten!AH68-Messdaten!C68</f>
        <v>42783.66001</v>
      </c>
      <c r="W68">
        <f t="shared" ref="W68:W131" si="19">(V68-MIN(V:V))/(MAX(V:V)-MIN(V:V))</f>
        <v>0.43200380204538835</v>
      </c>
      <c r="Y68" s="14">
        <f>A68</f>
        <v>545</v>
      </c>
      <c r="Z68">
        <f>D68*P148*Y68^4</f>
        <v>10256050717439.879</v>
      </c>
      <c r="AA68">
        <f>(Z68+Z69)/2*(Y69-Y68)</f>
        <v>10451481735650.102</v>
      </c>
    </row>
    <row r="69" spans="1:27" x14ac:dyDescent="0.2">
      <c r="A69">
        <v>546</v>
      </c>
      <c r="B69" s="13">
        <f>Messdaten!Q69-Messdaten!C69</f>
        <v>53916.017359999998</v>
      </c>
      <c r="C69">
        <f t="shared" si="10"/>
        <v>0.45285920074386848</v>
      </c>
      <c r="D69">
        <f t="shared" si="11"/>
        <v>9.0389051013710434E-3</v>
      </c>
      <c r="E69">
        <v>466</v>
      </c>
      <c r="F69" s="13">
        <f>Messdaten!T69-Messdaten!I69</f>
        <v>106488.32939</v>
      </c>
      <c r="G69">
        <f t="shared" si="12"/>
        <v>0.41169577295372739</v>
      </c>
      <c r="H69">
        <f t="shared" si="13"/>
        <v>29607.533811003577</v>
      </c>
      <c r="I69">
        <v>686</v>
      </c>
      <c r="J69" s="13">
        <f>Messdaten!W69-Messdaten!F69</f>
        <v>56554.001730000004</v>
      </c>
      <c r="K69">
        <f t="shared" si="14"/>
        <v>0.40866153747990985</v>
      </c>
      <c r="L69">
        <f t="shared" si="15"/>
        <v>8.7862424340245607E-3</v>
      </c>
      <c r="M69">
        <v>466</v>
      </c>
      <c r="N69" s="13">
        <f>Messdaten!Z69-Messdaten!L69</f>
        <v>1148.5803100000001</v>
      </c>
      <c r="O69">
        <f t="shared" si="16"/>
        <v>2.1017533308607715E-3</v>
      </c>
      <c r="P69">
        <f t="shared" si="17"/>
        <v>417.52315492837488</v>
      </c>
      <c r="Q69">
        <v>546</v>
      </c>
      <c r="R69">
        <f>Messdaten!AE69-Messdaten!C69</f>
        <v>42091.016799999998</v>
      </c>
      <c r="S69">
        <f t="shared" si="18"/>
        <v>0.40928793501705896</v>
      </c>
      <c r="U69">
        <v>546</v>
      </c>
      <c r="V69">
        <f>Messdaten!AH69-Messdaten!C69</f>
        <v>40886.28458</v>
      </c>
      <c r="W69">
        <f t="shared" si="19"/>
        <v>0.41306578454193804</v>
      </c>
      <c r="Y69" s="14">
        <f>A69</f>
        <v>546</v>
      </c>
      <c r="Z69">
        <f>D69*P149*Y69^4</f>
        <v>10646912753860.324</v>
      </c>
      <c r="AA69">
        <f>(Z69+Z70)/2*(Y70-Y69)</f>
        <v>10607797421718.082</v>
      </c>
    </row>
    <row r="70" spans="1:27" x14ac:dyDescent="0.2">
      <c r="A70">
        <v>547</v>
      </c>
      <c r="B70" s="13">
        <f>Messdaten!Q70-Messdaten!C70</f>
        <v>52013.548289999999</v>
      </c>
      <c r="C70">
        <f t="shared" si="10"/>
        <v>0.43710969255035304</v>
      </c>
      <c r="D70">
        <f t="shared" si="11"/>
        <v>8.7199602270268666E-3</v>
      </c>
      <c r="E70">
        <v>467</v>
      </c>
      <c r="F70" s="13">
        <f>Messdaten!T70-Messdaten!I70</f>
        <v>108756.62641</v>
      </c>
      <c r="G70">
        <f t="shared" si="12"/>
        <v>0.4206593387037928</v>
      </c>
      <c r="H70">
        <f t="shared" si="13"/>
        <v>30238.200862480073</v>
      </c>
      <c r="I70">
        <v>687</v>
      </c>
      <c r="J70" s="13">
        <f>Messdaten!W70-Messdaten!F70</f>
        <v>53234.952130000005</v>
      </c>
      <c r="K70">
        <f t="shared" si="14"/>
        <v>0.38417688971726982</v>
      </c>
      <c r="L70">
        <f t="shared" si="15"/>
        <v>8.2705941413471068E-3</v>
      </c>
      <c r="M70">
        <v>467</v>
      </c>
      <c r="N70" s="13">
        <f>Messdaten!Z70-Messdaten!L70</f>
        <v>737.04518999999993</v>
      </c>
      <c r="O70">
        <f t="shared" si="16"/>
        <v>1.5036196320673309E-3</v>
      </c>
      <c r="P70">
        <f t="shared" si="17"/>
        <v>267.92504657648487</v>
      </c>
      <c r="Q70">
        <v>547</v>
      </c>
      <c r="R70">
        <f>Messdaten!AE70-Messdaten!C70</f>
        <v>41211.210079999997</v>
      </c>
      <c r="S70">
        <f t="shared" si="18"/>
        <v>0.40076189020836683</v>
      </c>
      <c r="U70">
        <v>547</v>
      </c>
      <c r="V70">
        <f>Messdaten!AH70-Messdaten!C70</f>
        <v>39526.738790000003</v>
      </c>
      <c r="W70">
        <f t="shared" si="19"/>
        <v>0.39949593349366025</v>
      </c>
      <c r="Y70" s="14">
        <f>A70</f>
        <v>547</v>
      </c>
      <c r="Z70">
        <f>D70*P150*Y70^4</f>
        <v>10568682089575.838</v>
      </c>
      <c r="AA70">
        <f>(Z70+Z71)/2*(Y71-Y70)</f>
        <v>10767803035604.438</v>
      </c>
    </row>
    <row r="71" spans="1:27" x14ac:dyDescent="0.2">
      <c r="A71">
        <v>548</v>
      </c>
      <c r="B71" s="13">
        <f>Messdaten!Q71-Messdaten!C71</f>
        <v>50735.645679999994</v>
      </c>
      <c r="C71">
        <f t="shared" si="10"/>
        <v>0.42653063087514276</v>
      </c>
      <c r="D71">
        <f t="shared" si="11"/>
        <v>8.5057225851131683E-3</v>
      </c>
      <c r="E71">
        <v>468</v>
      </c>
      <c r="F71" s="13">
        <f>Messdaten!T71-Messdaten!I71</f>
        <v>111476.28712000001</v>
      </c>
      <c r="G71">
        <f t="shared" si="12"/>
        <v>0.43140654569520992</v>
      </c>
      <c r="H71">
        <f t="shared" si="13"/>
        <v>30994.363034307185</v>
      </c>
      <c r="I71">
        <v>688</v>
      </c>
      <c r="J71" s="13">
        <f>Messdaten!W71-Messdaten!F71</f>
        <v>50384.627350000002</v>
      </c>
      <c r="K71">
        <f t="shared" si="14"/>
        <v>0.36315002761571386</v>
      </c>
      <c r="L71">
        <f t="shared" si="15"/>
        <v>7.8277670421729225E-3</v>
      </c>
      <c r="M71">
        <v>468</v>
      </c>
      <c r="N71" s="13">
        <f>Messdaten!Z71-Messdaten!L71</f>
        <v>1203.7811199999999</v>
      </c>
      <c r="O71">
        <f t="shared" si="16"/>
        <v>2.1819833356819733E-3</v>
      </c>
      <c r="P71">
        <f t="shared" si="17"/>
        <v>437.58933240429008</v>
      </c>
      <c r="Q71">
        <v>548</v>
      </c>
      <c r="R71">
        <f>Messdaten!AE71-Messdaten!C71</f>
        <v>40127.901879999998</v>
      </c>
      <c r="S71">
        <f t="shared" si="18"/>
        <v>0.39026375005455716</v>
      </c>
      <c r="U71">
        <v>548</v>
      </c>
      <c r="V71">
        <f>Messdaten!AH71-Messdaten!C71</f>
        <v>38839.054899999996</v>
      </c>
      <c r="W71">
        <f t="shared" si="19"/>
        <v>0.39263204702198767</v>
      </c>
      <c r="Y71" s="14">
        <f>A71</f>
        <v>548</v>
      </c>
      <c r="Z71">
        <f>D71*P151*Y71^4</f>
        <v>10966923981633.037</v>
      </c>
      <c r="AA71">
        <f>(Z71+Z72)/2*(Y72-Y71)</f>
        <v>10960616777523.449</v>
      </c>
    </row>
    <row r="72" spans="1:27" x14ac:dyDescent="0.2">
      <c r="A72">
        <v>549</v>
      </c>
      <c r="B72" s="13">
        <f>Messdaten!Q72-Messdaten!C72</f>
        <v>49231.276509999996</v>
      </c>
      <c r="C72">
        <f t="shared" si="10"/>
        <v>0.41407677554440303</v>
      </c>
      <c r="D72">
        <f t="shared" si="11"/>
        <v>8.2535183083346231E-3</v>
      </c>
      <c r="E72">
        <v>469</v>
      </c>
      <c r="F72" s="13">
        <f>Messdaten!T72-Messdaten!I72</f>
        <v>114921.9586</v>
      </c>
      <c r="G72">
        <f t="shared" si="12"/>
        <v>0.44502270909523289</v>
      </c>
      <c r="H72">
        <f t="shared" si="13"/>
        <v>31952.381959292692</v>
      </c>
      <c r="I72">
        <v>689</v>
      </c>
      <c r="J72" s="13">
        <f>Messdaten!W72-Messdaten!F72</f>
        <v>47680.153699999995</v>
      </c>
      <c r="K72">
        <f t="shared" si="14"/>
        <v>0.3431991101290961</v>
      </c>
      <c r="L72">
        <f t="shared" si="15"/>
        <v>7.4075994073735923E-3</v>
      </c>
      <c r="M72">
        <v>469</v>
      </c>
      <c r="N72" s="13">
        <f>Messdaten!Z72-Messdaten!L72</f>
        <v>1388.6121900000001</v>
      </c>
      <c r="O72">
        <f t="shared" si="16"/>
        <v>2.4506206552649271E-3</v>
      </c>
      <c r="P72">
        <f t="shared" si="17"/>
        <v>504.77771340238274</v>
      </c>
      <c r="Q72">
        <v>549</v>
      </c>
      <c r="R72">
        <f>Messdaten!AE72-Messdaten!C72</f>
        <v>38713.945319999999</v>
      </c>
      <c r="S72">
        <f t="shared" si="18"/>
        <v>0.3765613575698713</v>
      </c>
      <c r="U72">
        <v>549</v>
      </c>
      <c r="V72">
        <f>Messdaten!AH72-Messdaten!C72</f>
        <v>37523.611319999996</v>
      </c>
      <c r="W72">
        <f t="shared" si="19"/>
        <v>0.3795023874148527</v>
      </c>
      <c r="Y72" s="14">
        <f>A72</f>
        <v>549</v>
      </c>
      <c r="Z72">
        <f>D72*P152*Y72^4</f>
        <v>10954309573413.863</v>
      </c>
      <c r="AA72">
        <f>(Z72+Z73)/2*(Y73-Y72)</f>
        <v>10920234300242.451</v>
      </c>
    </row>
    <row r="73" spans="1:27" x14ac:dyDescent="0.2">
      <c r="A73">
        <v>550</v>
      </c>
      <c r="B73" s="13">
        <f>Messdaten!Q73-Messdaten!C73</f>
        <v>47704.073170000003</v>
      </c>
      <c r="C73">
        <f t="shared" si="10"/>
        <v>0.40143388852154377</v>
      </c>
      <c r="D73">
        <f t="shared" si="11"/>
        <v>7.997485931748179E-3</v>
      </c>
      <c r="E73">
        <v>470</v>
      </c>
      <c r="F73" s="13">
        <f>Messdaten!T73-Messdaten!I73</f>
        <v>118495.28549000001</v>
      </c>
      <c r="G73">
        <f t="shared" si="12"/>
        <v>0.45914332480057463</v>
      </c>
      <c r="H73">
        <f t="shared" si="13"/>
        <v>32945.893617513699</v>
      </c>
      <c r="I73">
        <v>690</v>
      </c>
      <c r="J73" s="13">
        <f>Messdaten!W73-Messdaten!F73</f>
        <v>46299.750330000003</v>
      </c>
      <c r="K73">
        <f t="shared" si="14"/>
        <v>0.33301586662324095</v>
      </c>
      <c r="L73">
        <f t="shared" si="15"/>
        <v>7.1931396292049558E-3</v>
      </c>
      <c r="M73">
        <v>470</v>
      </c>
      <c r="N73" s="13">
        <f>Messdaten!Z73-Messdaten!L73</f>
        <v>1343.4522899999999</v>
      </c>
      <c r="O73">
        <f t="shared" si="16"/>
        <v>2.38498431777776E-3</v>
      </c>
      <c r="P73">
        <f t="shared" si="17"/>
        <v>488.36153095515795</v>
      </c>
      <c r="Q73">
        <v>550</v>
      </c>
      <c r="R73">
        <f>Messdaten!AE73-Messdaten!C73</f>
        <v>37859.896700000005</v>
      </c>
      <c r="S73">
        <f t="shared" si="18"/>
        <v>0.36828492976204369</v>
      </c>
      <c r="U73">
        <v>550</v>
      </c>
      <c r="V73">
        <f>Messdaten!AH73-Messdaten!C73</f>
        <v>36249.907899999998</v>
      </c>
      <c r="W73">
        <f t="shared" si="19"/>
        <v>0.36678934323773671</v>
      </c>
      <c r="Y73" s="14">
        <f>A73</f>
        <v>550</v>
      </c>
      <c r="Z73">
        <f>D73*P153*Y73^4</f>
        <v>10886159027071.039</v>
      </c>
      <c r="AA73">
        <f>(Z73+Z74)/2*(Y74-Y73)</f>
        <v>11143275279553.053</v>
      </c>
    </row>
    <row r="74" spans="1:27" x14ac:dyDescent="0.2">
      <c r="A74">
        <v>551</v>
      </c>
      <c r="B74" s="13">
        <f>Messdaten!Q74-Messdaten!C74</f>
        <v>46307.252570000004</v>
      </c>
      <c r="C74">
        <f t="shared" si="10"/>
        <v>0.38987036939186293</v>
      </c>
      <c r="D74">
        <f t="shared" si="11"/>
        <v>7.7633119429177814E-3</v>
      </c>
      <c r="E74">
        <v>471</v>
      </c>
      <c r="F74" s="13">
        <f>Messdaten!T74-Messdaten!I74</f>
        <v>123960.78406000001</v>
      </c>
      <c r="G74">
        <f t="shared" si="12"/>
        <v>0.48074118229327789</v>
      </c>
      <c r="H74">
        <f t="shared" si="13"/>
        <v>34465.49613764172</v>
      </c>
      <c r="I74">
        <v>691</v>
      </c>
      <c r="J74" s="13">
        <f>Messdaten!W74-Messdaten!F74</f>
        <v>42911.593109999994</v>
      </c>
      <c r="K74">
        <f t="shared" si="14"/>
        <v>0.30802141155509555</v>
      </c>
      <c r="L74">
        <f t="shared" si="15"/>
        <v>6.6667547611343522E-3</v>
      </c>
      <c r="M74">
        <v>471</v>
      </c>
      <c r="N74" s="13">
        <f>Messdaten!Z74-Messdaten!L74</f>
        <v>1310.14293</v>
      </c>
      <c r="O74">
        <f t="shared" si="16"/>
        <v>2.3365718014869453E-3</v>
      </c>
      <c r="P74">
        <f t="shared" si="17"/>
        <v>476.25316643352954</v>
      </c>
      <c r="Q74">
        <v>551</v>
      </c>
      <c r="R74">
        <f>Messdaten!AE74-Messdaten!C74</f>
        <v>36502.691740000002</v>
      </c>
      <c r="S74">
        <f t="shared" si="18"/>
        <v>0.35513250657580209</v>
      </c>
      <c r="U74">
        <v>551</v>
      </c>
      <c r="V74">
        <f>Messdaten!AH74-Messdaten!C74</f>
        <v>35615.744380000004</v>
      </c>
      <c r="W74">
        <f t="shared" si="19"/>
        <v>0.36045965241750216</v>
      </c>
      <c r="Y74" s="14">
        <f>A74</f>
        <v>551</v>
      </c>
      <c r="Z74">
        <f>D74*P154*Y74^4</f>
        <v>11400391532035.066</v>
      </c>
      <c r="AA74">
        <f>(Z74+Z75)/2*(Y75-Y74)</f>
        <v>11198988696909.082</v>
      </c>
    </row>
    <row r="75" spans="1:27" x14ac:dyDescent="0.2">
      <c r="A75">
        <v>552</v>
      </c>
      <c r="B75" s="13">
        <f>Messdaten!Q75-Messdaten!C75</f>
        <v>44734.708050000001</v>
      </c>
      <c r="C75">
        <f t="shared" si="10"/>
        <v>0.37685212736472296</v>
      </c>
      <c r="D75">
        <f t="shared" si="11"/>
        <v>7.4996782143904499E-3</v>
      </c>
      <c r="E75">
        <v>472</v>
      </c>
      <c r="F75" s="13">
        <f>Messdaten!T75-Messdaten!I75</f>
        <v>129183.92755000001</v>
      </c>
      <c r="G75">
        <f t="shared" si="12"/>
        <v>0.50138133200993229</v>
      </c>
      <c r="H75">
        <f t="shared" si="13"/>
        <v>35917.715346692625</v>
      </c>
      <c r="I75">
        <v>692</v>
      </c>
      <c r="J75" s="13">
        <f>Messdaten!W75-Messdaten!F75</f>
        <v>42514.444839999996</v>
      </c>
      <c r="K75">
        <f t="shared" si="14"/>
        <v>0.30509164651015863</v>
      </c>
      <c r="L75">
        <f t="shared" si="15"/>
        <v>6.605053716544569E-3</v>
      </c>
      <c r="M75">
        <v>472</v>
      </c>
      <c r="N75" s="13">
        <f>Messdaten!Z75-Messdaten!L75</f>
        <v>1567.9961000000001</v>
      </c>
      <c r="O75">
        <f t="shared" si="16"/>
        <v>2.7113409592631125E-3</v>
      </c>
      <c r="P75">
        <f t="shared" si="17"/>
        <v>569.98598433868995</v>
      </c>
      <c r="Q75">
        <v>552</v>
      </c>
      <c r="R75">
        <f>Messdaten!AE75-Messdaten!C75</f>
        <v>35356.076150000001</v>
      </c>
      <c r="S75">
        <f t="shared" si="18"/>
        <v>0.3440208661706402</v>
      </c>
      <c r="U75">
        <v>552</v>
      </c>
      <c r="V75">
        <f>Messdaten!AH75-Messdaten!C75</f>
        <v>34648.71976</v>
      </c>
      <c r="W75">
        <f t="shared" si="19"/>
        <v>0.35080761998877646</v>
      </c>
      <c r="Y75" s="14">
        <f>A75</f>
        <v>552</v>
      </c>
      <c r="Z75">
        <f>D75*P155*Y75^4</f>
        <v>10997585861783.098</v>
      </c>
      <c r="AA75">
        <f>(Z75+Z76)/2*(Y76-Y75)</f>
        <v>11306555335496.801</v>
      </c>
    </row>
    <row r="76" spans="1:27" x14ac:dyDescent="0.2">
      <c r="A76">
        <v>553</v>
      </c>
      <c r="B76" s="13">
        <f>Messdaten!Q76-Messdaten!C76</f>
        <v>43826.237959999999</v>
      </c>
      <c r="C76">
        <f t="shared" si="10"/>
        <v>0.36933139688261385</v>
      </c>
      <c r="D76">
        <f t="shared" si="11"/>
        <v>7.3473751450425246E-3</v>
      </c>
      <c r="E76">
        <v>473</v>
      </c>
      <c r="F76" s="13">
        <f>Messdaten!T76-Messdaten!I76</f>
        <v>134361.23238</v>
      </c>
      <c r="G76">
        <f t="shared" si="12"/>
        <v>0.52184034237879318</v>
      </c>
      <c r="H76">
        <f t="shared" si="13"/>
        <v>37357.189781892957</v>
      </c>
      <c r="I76">
        <v>693</v>
      </c>
      <c r="J76" s="13">
        <f>Messdaten!W76-Messdaten!F76</f>
        <v>40661.557339999999</v>
      </c>
      <c r="K76">
        <f t="shared" si="14"/>
        <v>0.29142288489198376</v>
      </c>
      <c r="L76">
        <f t="shared" si="15"/>
        <v>6.3171886976251786E-3</v>
      </c>
      <c r="M76">
        <v>473</v>
      </c>
      <c r="N76" s="13">
        <f>Messdaten!Z76-Messdaten!L76</f>
        <v>1361.2189800000001</v>
      </c>
      <c r="O76">
        <f t="shared" si="16"/>
        <v>2.4108067943746942E-3</v>
      </c>
      <c r="P76">
        <f t="shared" si="17"/>
        <v>494.81994261070389</v>
      </c>
      <c r="Q76">
        <v>553</v>
      </c>
      <c r="R76">
        <f>Messdaten!AE76-Messdaten!C76</f>
        <v>34484.245999999999</v>
      </c>
      <c r="S76">
        <f t="shared" si="18"/>
        <v>0.33557212083204047</v>
      </c>
      <c r="U76">
        <v>553</v>
      </c>
      <c r="V76">
        <f>Messdaten!AH76-Messdaten!C76</f>
        <v>33962.728459999998</v>
      </c>
      <c r="W76">
        <f t="shared" si="19"/>
        <v>0.34396062753741186</v>
      </c>
      <c r="Y76" s="14">
        <f>A76</f>
        <v>553</v>
      </c>
      <c r="Z76">
        <f>D76*P156*Y76^4</f>
        <v>11615524809210.504</v>
      </c>
      <c r="AA76">
        <f>(Z76+Z77)/2*(Y77-Y76)</f>
        <v>11588319649023.395</v>
      </c>
    </row>
    <row r="77" spans="1:27" x14ac:dyDescent="0.2">
      <c r="A77">
        <v>554</v>
      </c>
      <c r="B77" s="13">
        <f>Messdaten!Q77-Messdaten!C77</f>
        <v>41961.577940000003</v>
      </c>
      <c r="C77">
        <f t="shared" si="10"/>
        <v>0.35389488927983287</v>
      </c>
      <c r="D77">
        <f t="shared" si="11"/>
        <v>7.0347688771395687E-3</v>
      </c>
      <c r="E77">
        <v>474</v>
      </c>
      <c r="F77" s="13">
        <f>Messdaten!T77-Messdaten!I77</f>
        <v>141199.97674000001</v>
      </c>
      <c r="G77">
        <f t="shared" si="12"/>
        <v>0.54886481676563914</v>
      </c>
      <c r="H77">
        <f t="shared" si="13"/>
        <v>39258.603354848528</v>
      </c>
      <c r="I77">
        <v>694</v>
      </c>
      <c r="J77" s="13">
        <f>Messdaten!W77-Messdaten!F77</f>
        <v>39728.441030000002</v>
      </c>
      <c r="K77">
        <f t="shared" si="14"/>
        <v>0.28453928056985361</v>
      </c>
      <c r="L77">
        <f t="shared" si="15"/>
        <v>6.1722195377424873E-3</v>
      </c>
      <c r="M77">
        <v>474</v>
      </c>
      <c r="N77" s="13">
        <f>Messdaten!Z77-Messdaten!L77</f>
        <v>1791.12282</v>
      </c>
      <c r="O77">
        <f t="shared" si="16"/>
        <v>3.0356379726826431E-3</v>
      </c>
      <c r="P77">
        <f t="shared" si="17"/>
        <v>651.09530797250704</v>
      </c>
      <c r="Q77">
        <v>554</v>
      </c>
      <c r="R77">
        <f>Messdaten!AE77-Messdaten!C77</f>
        <v>34184.31007</v>
      </c>
      <c r="S77">
        <f t="shared" si="18"/>
        <v>0.3326654970011646</v>
      </c>
      <c r="U77">
        <v>554</v>
      </c>
      <c r="V77">
        <f>Messdaten!AH77-Messdaten!C77</f>
        <v>32327.41662</v>
      </c>
      <c r="W77">
        <f t="shared" si="19"/>
        <v>0.32763831000349103</v>
      </c>
      <c r="Y77" s="14">
        <f>A77</f>
        <v>554</v>
      </c>
      <c r="Z77">
        <f>D77*P157*Y77^4</f>
        <v>11561114488836.285</v>
      </c>
      <c r="AA77">
        <f>(Z77+Z78)/2*(Y78-Y77)</f>
        <v>11603662110536.77</v>
      </c>
    </row>
    <row r="78" spans="1:27" x14ac:dyDescent="0.2">
      <c r="A78">
        <v>555</v>
      </c>
      <c r="B78" s="13">
        <f>Messdaten!Q78-Messdaten!C78</f>
        <v>41531.085899999998</v>
      </c>
      <c r="C78">
        <f t="shared" si="10"/>
        <v>0.35033107948227166</v>
      </c>
      <c r="D78">
        <f t="shared" si="11"/>
        <v>6.9625978065192351E-3</v>
      </c>
      <c r="E78">
        <v>475</v>
      </c>
      <c r="F78" s="13">
        <f>Messdaten!T78-Messdaten!I78</f>
        <v>146568.87940999999</v>
      </c>
      <c r="G78">
        <f t="shared" si="12"/>
        <v>0.57008095894804467</v>
      </c>
      <c r="H78">
        <f t="shared" si="13"/>
        <v>40751.348787522576</v>
      </c>
      <c r="I78">
        <v>695</v>
      </c>
      <c r="J78" s="13">
        <f>Messdaten!W78-Messdaten!F78</f>
        <v>36467.458030000002</v>
      </c>
      <c r="K78">
        <f t="shared" si="14"/>
        <v>0.2604829904454285</v>
      </c>
      <c r="L78">
        <f t="shared" si="15"/>
        <v>5.665592485106636E-3</v>
      </c>
      <c r="M78">
        <v>475</v>
      </c>
      <c r="N78" s="13">
        <f>Messdaten!Z78-Messdaten!L78</f>
        <v>1517.9884999999999</v>
      </c>
      <c r="O78">
        <f t="shared" si="16"/>
        <v>2.6386588738173239E-3</v>
      </c>
      <c r="P78">
        <f t="shared" si="17"/>
        <v>551.80760295724667</v>
      </c>
      <c r="Q78">
        <v>555</v>
      </c>
      <c r="R78">
        <f>Messdaten!AE78-Messdaten!C78</f>
        <v>32742.567230000004</v>
      </c>
      <c r="S78">
        <f t="shared" si="18"/>
        <v>0.31869383279695057</v>
      </c>
      <c r="U78">
        <v>555</v>
      </c>
      <c r="V78">
        <f>Messdaten!AH78-Messdaten!C78</f>
        <v>31684.676900000002</v>
      </c>
      <c r="W78">
        <f t="shared" si="19"/>
        <v>0.32122301871476455</v>
      </c>
      <c r="Y78" s="14">
        <f>A78</f>
        <v>555</v>
      </c>
      <c r="Z78">
        <f>D78*P158*Y78^4</f>
        <v>11646209732237.252</v>
      </c>
      <c r="AA78">
        <f>(Z78+Z79)/2*(Y79-Y78)</f>
        <v>11604071418661.402</v>
      </c>
    </row>
    <row r="79" spans="1:27" x14ac:dyDescent="0.2">
      <c r="A79">
        <v>556</v>
      </c>
      <c r="B79" s="13">
        <f>Messdaten!Q79-Messdaten!C79</f>
        <v>39884.67772</v>
      </c>
      <c r="C79">
        <f t="shared" si="10"/>
        <v>0.33670136032958081</v>
      </c>
      <c r="D79">
        <f t="shared" si="11"/>
        <v>6.6865809932265367E-3</v>
      </c>
      <c r="E79">
        <v>476</v>
      </c>
      <c r="F79" s="13">
        <f>Messdaten!T79-Messdaten!I79</f>
        <v>154386.00655999998</v>
      </c>
      <c r="G79">
        <f t="shared" si="12"/>
        <v>0.60097168118055289</v>
      </c>
      <c r="H79">
        <f t="shared" si="13"/>
        <v>42924.787489437949</v>
      </c>
      <c r="I79">
        <v>696</v>
      </c>
      <c r="J79" s="13">
        <f>Messdaten!W79-Messdaten!F79</f>
        <v>34278.967570000001</v>
      </c>
      <c r="K79">
        <f t="shared" si="14"/>
        <v>0.24433848388397242</v>
      </c>
      <c r="L79">
        <f t="shared" si="15"/>
        <v>5.325588114807411E-3</v>
      </c>
      <c r="M79">
        <v>476</v>
      </c>
      <c r="N79" s="13">
        <f>Messdaten!Z79-Messdaten!L79</f>
        <v>1612.6718099999998</v>
      </c>
      <c r="O79">
        <f t="shared" si="16"/>
        <v>2.776273564938475E-3</v>
      </c>
      <c r="P79">
        <f t="shared" si="17"/>
        <v>586.22615772966935</v>
      </c>
      <c r="Q79">
        <v>556</v>
      </c>
      <c r="R79">
        <f>Messdaten!AE79-Messdaten!C79</f>
        <v>31634.770130000001</v>
      </c>
      <c r="S79">
        <f t="shared" si="18"/>
        <v>0.30795837522561126</v>
      </c>
      <c r="U79">
        <v>556</v>
      </c>
      <c r="V79">
        <f>Messdaten!AH79-Messdaten!C79</f>
        <v>30880.570159999999</v>
      </c>
      <c r="W79">
        <f t="shared" si="19"/>
        <v>0.31319709655092459</v>
      </c>
      <c r="Y79" s="14">
        <f>A79</f>
        <v>556</v>
      </c>
      <c r="Z79">
        <f>D79*P159*Y79^4</f>
        <v>11561933105085.551</v>
      </c>
      <c r="AA79">
        <f>(Z79+Z80)/2*(Y80-Y79)</f>
        <v>11531421361620.143</v>
      </c>
    </row>
    <row r="80" spans="1:27" x14ac:dyDescent="0.2">
      <c r="A80">
        <v>557</v>
      </c>
      <c r="B80" s="13">
        <f>Messdaten!Q80-Messdaten!C80</f>
        <v>38875.586329999998</v>
      </c>
      <c r="C80">
        <f t="shared" si="10"/>
        <v>0.32834764075252043</v>
      </c>
      <c r="D80">
        <f t="shared" si="11"/>
        <v>6.5174089779436077E-3</v>
      </c>
      <c r="E80">
        <v>477</v>
      </c>
      <c r="F80" s="13">
        <f>Messdaten!T80-Messdaten!I80</f>
        <v>162536.98453000002</v>
      </c>
      <c r="G80">
        <f t="shared" si="12"/>
        <v>0.63318167234010136</v>
      </c>
      <c r="H80">
        <f t="shared" si="13"/>
        <v>45191.048564449091</v>
      </c>
      <c r="I80">
        <v>697</v>
      </c>
      <c r="J80" s="13">
        <f>Messdaten!W80-Messdaten!F80</f>
        <v>34146.8727</v>
      </c>
      <c r="K80">
        <f t="shared" si="14"/>
        <v>0.24336401927723628</v>
      </c>
      <c r="L80">
        <f t="shared" si="15"/>
        <v>5.3050658260814605E-3</v>
      </c>
      <c r="M80">
        <v>477</v>
      </c>
      <c r="N80" s="13">
        <f>Messdaten!Z80-Messdaten!L80</f>
        <v>1738.9922000000001</v>
      </c>
      <c r="O80">
        <f t="shared" si="16"/>
        <v>2.9598702458334862E-3</v>
      </c>
      <c r="P80">
        <f t="shared" si="17"/>
        <v>632.14518255134942</v>
      </c>
      <c r="Q80">
        <v>557</v>
      </c>
      <c r="R80">
        <f>Messdaten!AE80-Messdaten!C80</f>
        <v>31083.317330000002</v>
      </c>
      <c r="S80">
        <f t="shared" si="18"/>
        <v>0.30261434775253321</v>
      </c>
      <c r="U80">
        <v>557</v>
      </c>
      <c r="V80">
        <f>Messdaten!AH80-Messdaten!C80</f>
        <v>29772.440569999999</v>
      </c>
      <c r="W80">
        <f t="shared" si="19"/>
        <v>0.30213667211425355</v>
      </c>
      <c r="Y80" s="14">
        <f>A80</f>
        <v>557</v>
      </c>
      <c r="Z80">
        <f>D80*P160*Y80^4</f>
        <v>11500909618154.734</v>
      </c>
      <c r="AA80">
        <f>(Z80+Z81)/2*(Y81-Y80)</f>
        <v>11713779291987.342</v>
      </c>
    </row>
    <row r="81" spans="1:27" x14ac:dyDescent="0.2">
      <c r="A81">
        <v>558</v>
      </c>
      <c r="B81" s="13">
        <f>Messdaten!Q81-Messdaten!C81</f>
        <v>37988.909619999999</v>
      </c>
      <c r="C81">
        <f t="shared" si="10"/>
        <v>0.32100732582737723</v>
      </c>
      <c r="D81">
        <f t="shared" si="11"/>
        <v>6.3687595221840676E-3</v>
      </c>
      <c r="E81">
        <v>478</v>
      </c>
      <c r="F81" s="13">
        <f>Messdaten!T81-Messdaten!I81</f>
        <v>171457.19122000001</v>
      </c>
      <c r="G81">
        <f t="shared" si="12"/>
        <v>0.66843140306980453</v>
      </c>
      <c r="H81">
        <f t="shared" si="13"/>
        <v>47671.182516105546</v>
      </c>
      <c r="I81">
        <v>698</v>
      </c>
      <c r="J81" s="13">
        <f>Messdaten!W81-Messdaten!F81</f>
        <v>33372.421390000003</v>
      </c>
      <c r="K81">
        <f t="shared" si="14"/>
        <v>0.23765088756186056</v>
      </c>
      <c r="L81">
        <f t="shared" si="15"/>
        <v>5.1847468963000815E-3</v>
      </c>
      <c r="M81">
        <v>478</v>
      </c>
      <c r="N81" s="13">
        <f>Messdaten!Z81-Messdaten!L81</f>
        <v>2034.4511499999999</v>
      </c>
      <c r="O81">
        <f t="shared" si="16"/>
        <v>3.389296426046553E-3</v>
      </c>
      <c r="P81">
        <f t="shared" si="17"/>
        <v>739.54816681095667</v>
      </c>
      <c r="Q81">
        <v>558</v>
      </c>
      <c r="R81">
        <f>Messdaten!AE81-Messdaten!C81</f>
        <v>29869.203440000001</v>
      </c>
      <c r="S81">
        <f t="shared" si="18"/>
        <v>0.29084859375943406</v>
      </c>
      <c r="U81">
        <v>558</v>
      </c>
      <c r="V81">
        <f>Messdaten!AH81-Messdaten!C81</f>
        <v>29081.179350000002</v>
      </c>
      <c r="W81">
        <f t="shared" si="19"/>
        <v>0.29523707972108321</v>
      </c>
      <c r="Y81" s="14">
        <f>A81</f>
        <v>558</v>
      </c>
      <c r="Z81">
        <f>D81*P161*Y81^4</f>
        <v>11926648965819.949</v>
      </c>
      <c r="AA81">
        <f>(Z81+Z82)/2*(Y82-Y81)</f>
        <v>11869231859901.816</v>
      </c>
    </row>
    <row r="82" spans="1:27" x14ac:dyDescent="0.2">
      <c r="A82">
        <v>559</v>
      </c>
      <c r="B82" s="13">
        <f>Messdaten!Q82-Messdaten!C82</f>
        <v>36586.603329999998</v>
      </c>
      <c r="C82">
        <f t="shared" si="10"/>
        <v>0.30939839364948207</v>
      </c>
      <c r="D82">
        <f t="shared" si="11"/>
        <v>6.1336658691471231E-3</v>
      </c>
      <c r="E82">
        <v>479</v>
      </c>
      <c r="F82" s="13">
        <f>Messdaten!T82-Messdaten!I82</f>
        <v>181204.88602999999</v>
      </c>
      <c r="G82">
        <f t="shared" si="12"/>
        <v>0.70695109540754186</v>
      </c>
      <c r="H82">
        <f t="shared" si="13"/>
        <v>50381.387524669801</v>
      </c>
      <c r="I82">
        <v>699</v>
      </c>
      <c r="J82" s="13">
        <f>Messdaten!W82-Messdaten!F82</f>
        <v>32254.924860000003</v>
      </c>
      <c r="K82">
        <f t="shared" si="14"/>
        <v>0.22940710930888641</v>
      </c>
      <c r="L82">
        <f t="shared" si="15"/>
        <v>5.0111323839506791E-3</v>
      </c>
      <c r="M82">
        <v>479</v>
      </c>
      <c r="N82" s="13">
        <f>Messdaten!Z82-Messdaten!L82</f>
        <v>2291.6664000000001</v>
      </c>
      <c r="O82">
        <f t="shared" si="16"/>
        <v>3.7631384176330298E-3</v>
      </c>
      <c r="P82">
        <f t="shared" si="17"/>
        <v>833.04909290265573</v>
      </c>
      <c r="Q82">
        <v>559</v>
      </c>
      <c r="R82">
        <f>Messdaten!AE82-Messdaten!C82</f>
        <v>29120.624459999999</v>
      </c>
      <c r="S82">
        <f t="shared" si="18"/>
        <v>0.28359425279881367</v>
      </c>
      <c r="U82">
        <v>559</v>
      </c>
      <c r="V82">
        <f>Messdaten!AH82-Messdaten!C82</f>
        <v>27897.01842</v>
      </c>
      <c r="W82">
        <f t="shared" si="19"/>
        <v>0.28341777392389472</v>
      </c>
      <c r="Y82" s="14">
        <f>A82</f>
        <v>559</v>
      </c>
      <c r="Z82">
        <f>D82*P162*Y82^4</f>
        <v>11811814753983.682</v>
      </c>
      <c r="AA82">
        <f>(Z82+Z83)/2*(Y83-Y82)</f>
        <v>11843924390233.855</v>
      </c>
    </row>
    <row r="83" spans="1:27" x14ac:dyDescent="0.2">
      <c r="A83">
        <v>560</v>
      </c>
      <c r="B83" s="13">
        <f>Messdaten!Q83-Messdaten!C83</f>
        <v>35026.346649999999</v>
      </c>
      <c r="C83">
        <f t="shared" si="10"/>
        <v>0.29648187597613707</v>
      </c>
      <c r="D83">
        <f t="shared" si="11"/>
        <v>5.872092170738843E-3</v>
      </c>
      <c r="E83">
        <v>480</v>
      </c>
      <c r="F83" s="13">
        <f>Messdaten!T83-Messdaten!I83</f>
        <v>188406.91158000001</v>
      </c>
      <c r="G83">
        <f t="shared" si="12"/>
        <v>0.73541113788957801</v>
      </c>
      <c r="H83">
        <f t="shared" si="13"/>
        <v>52383.806157780236</v>
      </c>
      <c r="I83">
        <v>700</v>
      </c>
      <c r="J83" s="13">
        <f>Messdaten!W83-Messdaten!F83</f>
        <v>31060.212889999999</v>
      </c>
      <c r="K83">
        <f t="shared" si="14"/>
        <v>0.2205937123161871</v>
      </c>
      <c r="L83">
        <f t="shared" si="15"/>
        <v>4.8255216634685806E-3</v>
      </c>
      <c r="M83">
        <v>480</v>
      </c>
      <c r="N83" s="13">
        <f>Messdaten!Z83-Messdaten!L83</f>
        <v>2194.5239900000001</v>
      </c>
      <c r="O83">
        <f t="shared" si="16"/>
        <v>3.6219496194497564E-3</v>
      </c>
      <c r="P83">
        <f t="shared" si="17"/>
        <v>797.73662485194916</v>
      </c>
      <c r="Q83">
        <v>560</v>
      </c>
      <c r="R83">
        <f>Messdaten!AE83-Messdaten!C83</f>
        <v>28108.188470000001</v>
      </c>
      <c r="S83">
        <f t="shared" si="18"/>
        <v>0.27378292217306838</v>
      </c>
      <c r="U83">
        <v>560</v>
      </c>
      <c r="V83">
        <f>Messdaten!AH83-Messdaten!C83</f>
        <v>27150.549179999998</v>
      </c>
      <c r="W83">
        <f t="shared" si="19"/>
        <v>0.27596714116593429</v>
      </c>
      <c r="Y83" s="14">
        <f>A83</f>
        <v>560</v>
      </c>
      <c r="Z83">
        <f>D83*P163*Y83^4</f>
        <v>11876034026484.031</v>
      </c>
      <c r="AA83">
        <f>(Z83+Z84)/2*(Y84-Y83)</f>
        <v>11916790226570.375</v>
      </c>
    </row>
    <row r="84" spans="1:27" x14ac:dyDescent="0.2">
      <c r="A84">
        <v>561</v>
      </c>
      <c r="B84" s="13">
        <f>Messdaten!Q84-Messdaten!C84</f>
        <v>34516.165130000001</v>
      </c>
      <c r="C84">
        <f t="shared" si="10"/>
        <v>0.2922583602532664</v>
      </c>
      <c r="D84">
        <f t="shared" si="11"/>
        <v>5.7865613290788943E-3</v>
      </c>
      <c r="E84">
        <v>481</v>
      </c>
      <c r="F84" s="13">
        <f>Messdaten!T84-Messdaten!I84</f>
        <v>196286.95179000002</v>
      </c>
      <c r="G84">
        <f t="shared" si="12"/>
        <v>0.76655047189773817</v>
      </c>
      <c r="H84">
        <f t="shared" si="13"/>
        <v>54574.73692255147</v>
      </c>
      <c r="I84">
        <v>701</v>
      </c>
      <c r="J84" s="13">
        <f>Messdaten!W84-Messdaten!F84</f>
        <v>30943.601070000001</v>
      </c>
      <c r="K84">
        <f t="shared" si="14"/>
        <v>0.21973346625729712</v>
      </c>
      <c r="L84">
        <f t="shared" si="15"/>
        <v>4.8074048248744816E-3</v>
      </c>
      <c r="M84">
        <v>481</v>
      </c>
      <c r="N84" s="13">
        <f>Messdaten!Z84-Messdaten!L84</f>
        <v>2219.7342600000002</v>
      </c>
      <c r="O84">
        <f t="shared" si="16"/>
        <v>3.658590749962947E-3</v>
      </c>
      <c r="P84">
        <f t="shared" si="17"/>
        <v>806.90086994247849</v>
      </c>
      <c r="Q84">
        <v>561</v>
      </c>
      <c r="R84">
        <f>Messdaten!AE84-Messdaten!C84</f>
        <v>27079.29163</v>
      </c>
      <c r="S84">
        <f t="shared" si="18"/>
        <v>0.26381207248307997</v>
      </c>
      <c r="U84">
        <v>561</v>
      </c>
      <c r="V84">
        <f>Messdaten!AH84-Messdaten!C84</f>
        <v>26369.973099999999</v>
      </c>
      <c r="W84">
        <f t="shared" si="19"/>
        <v>0.26817608240545765</v>
      </c>
      <c r="Y84" s="14">
        <f>A84</f>
        <v>561</v>
      </c>
      <c r="Z84">
        <f>D84*P164*Y84^4</f>
        <v>11957546426656.717</v>
      </c>
      <c r="AA84">
        <f>(Z84+Z85)/2*(Y85-Y84)</f>
        <v>12022629655100.801</v>
      </c>
    </row>
    <row r="85" spans="1:27" x14ac:dyDescent="0.2">
      <c r="A85">
        <v>562</v>
      </c>
      <c r="B85" s="13">
        <f>Messdaten!Q85-Messdaten!C85</f>
        <v>33335.683469999996</v>
      </c>
      <c r="C85">
        <f t="shared" si="10"/>
        <v>0.28248579371347776</v>
      </c>
      <c r="D85">
        <f t="shared" si="11"/>
        <v>5.588656101261285E-3</v>
      </c>
      <c r="E85">
        <v>482</v>
      </c>
      <c r="F85" s="13">
        <f>Messdaten!T85-Messdaten!I85</f>
        <v>205366.07795000001</v>
      </c>
      <c r="G85">
        <f t="shared" si="12"/>
        <v>0.80242820024228223</v>
      </c>
      <c r="H85">
        <f t="shared" si="13"/>
        <v>57099.056125382434</v>
      </c>
      <c r="I85">
        <v>702</v>
      </c>
      <c r="J85" s="13">
        <f>Messdaten!W85-Messdaten!F85</f>
        <v>29380.246029999998</v>
      </c>
      <c r="K85">
        <f t="shared" si="14"/>
        <v>0.20820058724206694</v>
      </c>
      <c r="L85">
        <f t="shared" si="15"/>
        <v>4.5645216340885735E-3</v>
      </c>
      <c r="M85">
        <v>482</v>
      </c>
      <c r="N85" s="13">
        <f>Messdaten!Z85-Messdaten!L85</f>
        <v>2091.9314100000001</v>
      </c>
      <c r="O85">
        <f t="shared" si="16"/>
        <v>3.4728394308851411E-3</v>
      </c>
      <c r="P85">
        <f t="shared" si="17"/>
        <v>760.44295256721205</v>
      </c>
      <c r="Q85">
        <v>562</v>
      </c>
      <c r="R85">
        <f>Messdaten!AE85-Messdaten!C85</f>
        <v>26217.711720000003</v>
      </c>
      <c r="S85">
        <f t="shared" si="18"/>
        <v>0.25546266033159193</v>
      </c>
      <c r="U85">
        <v>562</v>
      </c>
      <c r="V85">
        <f>Messdaten!AH85-Messdaten!C85</f>
        <v>25181.747960000001</v>
      </c>
      <c r="W85">
        <f t="shared" si="19"/>
        <v>0.25631621105708691</v>
      </c>
      <c r="Y85" s="14">
        <f>A85</f>
        <v>562</v>
      </c>
      <c r="Z85">
        <f>D85*P165*Y85^4</f>
        <v>12087712883544.885</v>
      </c>
      <c r="AA85">
        <f>(Z85+Z86)/2*(Y86-Y85)</f>
        <v>11988406771698.006</v>
      </c>
    </row>
    <row r="86" spans="1:27" x14ac:dyDescent="0.2">
      <c r="A86">
        <v>563</v>
      </c>
      <c r="B86" s="13">
        <f>Messdaten!Q86-Messdaten!C86</f>
        <v>31759.85915</v>
      </c>
      <c r="C86">
        <f t="shared" si="10"/>
        <v>0.26944040000340769</v>
      </c>
      <c r="D86">
        <f t="shared" si="11"/>
        <v>5.3244725212723094E-3</v>
      </c>
      <c r="E86">
        <v>483</v>
      </c>
      <c r="F86" s="13">
        <f>Messdaten!T86-Messdaten!I86</f>
        <v>212310.81677999999</v>
      </c>
      <c r="G86">
        <f t="shared" si="12"/>
        <v>0.82987153000503844</v>
      </c>
      <c r="H86">
        <f t="shared" si="13"/>
        <v>59029.939921716294</v>
      </c>
      <c r="I86">
        <v>703</v>
      </c>
      <c r="J86" s="13">
        <f>Messdaten!W86-Messdaten!F86</f>
        <v>29463.11937</v>
      </c>
      <c r="K86">
        <f t="shared" si="14"/>
        <v>0.20881194434224815</v>
      </c>
      <c r="L86">
        <f t="shared" si="15"/>
        <v>4.5773968548383564E-3</v>
      </c>
      <c r="M86">
        <v>483</v>
      </c>
      <c r="N86" s="13">
        <f>Messdaten!Z86-Messdaten!L86</f>
        <v>2647.51575</v>
      </c>
      <c r="O86">
        <f t="shared" si="16"/>
        <v>4.2803372606594553E-3</v>
      </c>
      <c r="P86">
        <f t="shared" si="17"/>
        <v>962.4047348178575</v>
      </c>
      <c r="Q86">
        <v>563</v>
      </c>
      <c r="R86">
        <f>Messdaten!AE86-Messdaten!C86</f>
        <v>25812.50488</v>
      </c>
      <c r="S86">
        <f t="shared" si="18"/>
        <v>0.25153587550932033</v>
      </c>
      <c r="U86">
        <v>563</v>
      </c>
      <c r="V86">
        <f>Messdaten!AH86-Messdaten!C86</f>
        <v>24630.08222</v>
      </c>
      <c r="W86">
        <f t="shared" si="19"/>
        <v>0.25080994420289143</v>
      </c>
      <c r="Y86" s="14">
        <f>A86</f>
        <v>563</v>
      </c>
      <c r="Z86">
        <f>D86*P166*Y86^4</f>
        <v>11889100659851.127</v>
      </c>
      <c r="AA86">
        <f>(Z86+Z87)/2*(Y87-Y86)</f>
        <v>11964238139089.762</v>
      </c>
    </row>
    <row r="87" spans="1:27" x14ac:dyDescent="0.2">
      <c r="A87">
        <v>564</v>
      </c>
      <c r="B87" s="13">
        <f>Messdaten!Q87-Messdaten!C87</f>
        <v>31186.381659999999</v>
      </c>
      <c r="C87">
        <f t="shared" si="10"/>
        <v>0.26469289132114998</v>
      </c>
      <c r="D87">
        <f t="shared" si="11"/>
        <v>5.2283302454942003E-3</v>
      </c>
      <c r="E87">
        <v>484</v>
      </c>
      <c r="F87" s="13">
        <f>Messdaten!T87-Messdaten!I87</f>
        <v>220414.76565999998</v>
      </c>
      <c r="G87">
        <f t="shared" si="12"/>
        <v>0.86189567762793162</v>
      </c>
      <c r="H87">
        <f t="shared" si="13"/>
        <v>61283.125241100002</v>
      </c>
      <c r="I87">
        <v>704</v>
      </c>
      <c r="J87" s="13">
        <f>Messdaten!W87-Messdaten!F87</f>
        <v>28710.96528</v>
      </c>
      <c r="K87">
        <f t="shared" si="14"/>
        <v>0.20326329934553611</v>
      </c>
      <c r="L87">
        <f t="shared" si="15"/>
        <v>4.460542026173288E-3</v>
      </c>
      <c r="M87">
        <v>484</v>
      </c>
      <c r="N87" s="13">
        <f>Messdaten!Z87-Messdaten!L87</f>
        <v>2658.56169</v>
      </c>
      <c r="O87">
        <f t="shared" si="16"/>
        <v>4.2963916594890138E-3</v>
      </c>
      <c r="P87">
        <f t="shared" si="17"/>
        <v>966.42007068753605</v>
      </c>
      <c r="Q87">
        <v>564</v>
      </c>
      <c r="R87">
        <f>Messdaten!AE87-Messdaten!C87</f>
        <v>24616.325989999998</v>
      </c>
      <c r="S87">
        <f t="shared" si="18"/>
        <v>0.23994392629648456</v>
      </c>
      <c r="U87">
        <v>564</v>
      </c>
      <c r="V87">
        <f>Messdaten!AH87-Messdaten!C87</f>
        <v>23920.297009999998</v>
      </c>
      <c r="W87">
        <f t="shared" si="19"/>
        <v>0.24372546080643984</v>
      </c>
      <c r="Y87" s="14">
        <f>A87</f>
        <v>564</v>
      </c>
      <c r="Z87">
        <f>D87*P167*Y87^4</f>
        <v>12039375618328.398</v>
      </c>
      <c r="AA87">
        <f>(Z87+Z88)/2*(Y88-Y87)</f>
        <v>12068068959801.682</v>
      </c>
    </row>
    <row r="88" spans="1:27" x14ac:dyDescent="0.2">
      <c r="A88">
        <v>565</v>
      </c>
      <c r="B88" s="13">
        <f>Messdaten!Q88-Messdaten!C88</f>
        <v>30049.995580000003</v>
      </c>
      <c r="C88">
        <f t="shared" si="10"/>
        <v>0.25528536813973141</v>
      </c>
      <c r="D88">
        <f t="shared" si="11"/>
        <v>5.0378175474391036E-3</v>
      </c>
      <c r="E88">
        <v>485</v>
      </c>
      <c r="F88" s="13">
        <f>Messdaten!T88-Messdaten!I88</f>
        <v>228585.11575</v>
      </c>
      <c r="G88">
        <f t="shared" si="12"/>
        <v>0.89418222105105361</v>
      </c>
      <c r="H88">
        <f t="shared" si="13"/>
        <v>63554.772452800258</v>
      </c>
      <c r="I88">
        <v>705</v>
      </c>
      <c r="J88" s="13">
        <f>Messdaten!W88-Messdaten!F88</f>
        <v>27894.404450000002</v>
      </c>
      <c r="K88">
        <f t="shared" si="14"/>
        <v>0.19723952546179574</v>
      </c>
      <c r="L88">
        <f t="shared" si="15"/>
        <v>4.3336809518896187E-3</v>
      </c>
      <c r="M88">
        <v>485</v>
      </c>
      <c r="N88" s="13">
        <f>Messdaten!Z88-Messdaten!L88</f>
        <v>2620.7214800000002</v>
      </c>
      <c r="O88">
        <f t="shared" si="16"/>
        <v>4.2413939116165604E-3</v>
      </c>
      <c r="P88">
        <f t="shared" si="17"/>
        <v>952.66468612731126</v>
      </c>
      <c r="Q88">
        <v>565</v>
      </c>
      <c r="R88">
        <f>Messdaten!AE88-Messdaten!C88</f>
        <v>23986.032510000001</v>
      </c>
      <c r="S88">
        <f t="shared" si="18"/>
        <v>0.23383586832085734</v>
      </c>
      <c r="U88">
        <v>565</v>
      </c>
      <c r="V88">
        <f>Messdaten!AH88-Messdaten!C88</f>
        <v>22669.107</v>
      </c>
      <c r="W88">
        <f t="shared" si="19"/>
        <v>0.23123712669244634</v>
      </c>
      <c r="Y88" s="14">
        <f>A88</f>
        <v>565</v>
      </c>
      <c r="Z88">
        <f>D88*P168*Y88^4</f>
        <v>12096762301274.965</v>
      </c>
      <c r="AA88">
        <f>(Z88+Z89)/2*(Y89-Y88)</f>
        <v>12385552076004.17</v>
      </c>
    </row>
    <row r="89" spans="1:27" x14ac:dyDescent="0.2">
      <c r="A89">
        <v>566</v>
      </c>
      <c r="B89" s="13">
        <f>Messdaten!Q89-Messdaten!C89</f>
        <v>29289.589950000001</v>
      </c>
      <c r="C89">
        <f t="shared" si="10"/>
        <v>0.24899038290768225</v>
      </c>
      <c r="D89">
        <f t="shared" si="11"/>
        <v>4.9103371684225058E-3</v>
      </c>
      <c r="E89">
        <v>486</v>
      </c>
      <c r="F89" s="13">
        <f>Messdaten!T89-Messdaten!I89</f>
        <v>234266.60115</v>
      </c>
      <c r="G89">
        <f t="shared" si="12"/>
        <v>0.91663358764542346</v>
      </c>
      <c r="H89">
        <f t="shared" si="13"/>
        <v>65134.426974951297</v>
      </c>
      <c r="I89">
        <v>706</v>
      </c>
      <c r="J89" s="13">
        <f>Messdaten!W89-Messdaten!F89</f>
        <v>27168.47798</v>
      </c>
      <c r="K89">
        <f t="shared" si="14"/>
        <v>0.19188436176688536</v>
      </c>
      <c r="L89">
        <f t="shared" si="15"/>
        <v>4.2209008521692437E-3</v>
      </c>
      <c r="M89">
        <v>486</v>
      </c>
      <c r="N89" s="13">
        <f>Messdaten!Z89-Messdaten!L89</f>
        <v>2530.1973500000004</v>
      </c>
      <c r="O89">
        <f t="shared" si="16"/>
        <v>4.1098242591724185E-3</v>
      </c>
      <c r="P89">
        <f t="shared" si="17"/>
        <v>919.75804474953406</v>
      </c>
      <c r="Q89">
        <v>566</v>
      </c>
      <c r="R89">
        <f>Messdaten!AE89-Messdaten!C89</f>
        <v>22821.36246</v>
      </c>
      <c r="S89">
        <f t="shared" si="18"/>
        <v>0.22254926547058396</v>
      </c>
      <c r="U89">
        <v>566</v>
      </c>
      <c r="V89">
        <f>Messdaten!AH89-Messdaten!C89</f>
        <v>22154.8907</v>
      </c>
      <c r="W89">
        <f t="shared" si="19"/>
        <v>0.22610464888337117</v>
      </c>
      <c r="Y89" s="14">
        <f>A89</f>
        <v>566</v>
      </c>
      <c r="Z89">
        <f>D89*P169*Y89^4</f>
        <v>12674341850733.375</v>
      </c>
      <c r="AA89">
        <f>(Z89+Z90)/2*(Y90-Y89)</f>
        <v>12578328568540.088</v>
      </c>
    </row>
    <row r="90" spans="1:27" x14ac:dyDescent="0.2">
      <c r="A90">
        <v>567</v>
      </c>
      <c r="B90" s="13">
        <f>Messdaten!Q90-Messdaten!C90</f>
        <v>28659.572390000001</v>
      </c>
      <c r="C90">
        <f t="shared" si="10"/>
        <v>0.24377480969298676</v>
      </c>
      <c r="D90">
        <f t="shared" si="11"/>
        <v>4.8047160707250678E-3</v>
      </c>
      <c r="E90">
        <v>487</v>
      </c>
      <c r="F90" s="13">
        <f>Messdaten!T90-Messdaten!I90</f>
        <v>240326.23723</v>
      </c>
      <c r="G90">
        <f t="shared" si="12"/>
        <v>0.94057928168180172</v>
      </c>
      <c r="H90">
        <f t="shared" si="13"/>
        <v>66819.220803051532</v>
      </c>
      <c r="I90">
        <v>707</v>
      </c>
      <c r="J90" s="13">
        <f>Messdaten!W90-Messdaten!F90</f>
        <v>25760.855589999999</v>
      </c>
      <c r="K90">
        <f t="shared" si="14"/>
        <v>0.18150032339579397</v>
      </c>
      <c r="L90">
        <f t="shared" si="15"/>
        <v>4.0022123209288371E-3</v>
      </c>
      <c r="M90">
        <v>487</v>
      </c>
      <c r="N90" s="13">
        <f>Messdaten!Z90-Messdaten!L90</f>
        <v>3213.5949599999999</v>
      </c>
      <c r="O90">
        <f t="shared" si="16"/>
        <v>5.1030885526691591E-3</v>
      </c>
      <c r="P90">
        <f t="shared" si="17"/>
        <v>1168.1815321743802</v>
      </c>
      <c r="Q90">
        <v>567</v>
      </c>
      <c r="R90">
        <f>Messdaten!AE90-Messdaten!C90</f>
        <v>21861.866279999998</v>
      </c>
      <c r="S90">
        <f t="shared" si="18"/>
        <v>0.21325096478876043</v>
      </c>
      <c r="U90">
        <v>567</v>
      </c>
      <c r="V90">
        <f>Messdaten!AH90-Messdaten!C90</f>
        <v>21298.720229999999</v>
      </c>
      <c r="W90">
        <f t="shared" si="19"/>
        <v>0.21755907003248592</v>
      </c>
      <c r="Y90" s="14">
        <f>A90</f>
        <v>567</v>
      </c>
      <c r="Z90">
        <f>D90*P170*Y90^4</f>
        <v>12482315286346.801</v>
      </c>
      <c r="AA90">
        <f>(Z90+Z91)/2*(Y91-Y90)</f>
        <v>12687435283547.434</v>
      </c>
    </row>
    <row r="91" spans="1:27" x14ac:dyDescent="0.2">
      <c r="A91">
        <v>568</v>
      </c>
      <c r="B91" s="13">
        <f>Messdaten!Q91-Messdaten!C91</f>
        <v>27271.33742</v>
      </c>
      <c r="C91">
        <f t="shared" si="10"/>
        <v>0.23228236633119287</v>
      </c>
      <c r="D91">
        <f t="shared" si="11"/>
        <v>4.5719814444181908E-3</v>
      </c>
      <c r="E91">
        <v>488</v>
      </c>
      <c r="F91" s="13">
        <f>Messdaten!T91-Messdaten!I91</f>
        <v>245053.20646000002</v>
      </c>
      <c r="G91">
        <f t="shared" si="12"/>
        <v>0.95925871348374503</v>
      </c>
      <c r="H91">
        <f t="shared" si="13"/>
        <v>68133.485963398227</v>
      </c>
      <c r="I91">
        <v>708</v>
      </c>
      <c r="J91" s="13">
        <f>Messdaten!W91-Messdaten!F91</f>
        <v>26126.973669999999</v>
      </c>
      <c r="K91">
        <f t="shared" si="14"/>
        <v>0.18420117855274434</v>
      </c>
      <c r="L91">
        <f t="shared" si="15"/>
        <v>4.0590925082180989E-3</v>
      </c>
      <c r="M91">
        <v>488</v>
      </c>
      <c r="N91" s="13">
        <f>Messdaten!Z91-Messdaten!L91</f>
        <v>3081.6453999999999</v>
      </c>
      <c r="O91">
        <f t="shared" si="16"/>
        <v>4.911310319071582E-3</v>
      </c>
      <c r="P91">
        <f t="shared" si="17"/>
        <v>1120.216234403769</v>
      </c>
      <c r="Q91">
        <v>568</v>
      </c>
      <c r="R91">
        <f>Messdaten!AE91-Messdaten!C91</f>
        <v>21224.798129999999</v>
      </c>
      <c r="S91">
        <f t="shared" si="18"/>
        <v>0.20707725473447652</v>
      </c>
      <c r="U91">
        <v>568</v>
      </c>
      <c r="V91">
        <f>Messdaten!AH91-Messdaten!C91</f>
        <v>20663.49999</v>
      </c>
      <c r="W91">
        <f t="shared" si="19"/>
        <v>0.21121883191542237</v>
      </c>
      <c r="Y91" s="14">
        <f>A91</f>
        <v>568</v>
      </c>
      <c r="Z91">
        <f>D91*P171*Y91^4</f>
        <v>12892555280748.068</v>
      </c>
      <c r="AA91">
        <f>(Z91+Z92)/2*(Y92-Y91)</f>
        <v>12620960492156.266</v>
      </c>
    </row>
    <row r="92" spans="1:27" x14ac:dyDescent="0.2">
      <c r="A92">
        <v>569</v>
      </c>
      <c r="B92" s="13">
        <f>Messdaten!Q92-Messdaten!C92</f>
        <v>25976.681710000001</v>
      </c>
      <c r="C92">
        <f t="shared" si="10"/>
        <v>0.22156461483974468</v>
      </c>
      <c r="D92">
        <f t="shared" si="11"/>
        <v>4.3549351810879171E-3</v>
      </c>
      <c r="E92">
        <v>489</v>
      </c>
      <c r="F92" s="13">
        <f>Messdaten!T92-Messdaten!I92</f>
        <v>248047.40806000002</v>
      </c>
      <c r="G92">
        <f t="shared" si="12"/>
        <v>0.97109081601436997</v>
      </c>
      <c r="H92">
        <f t="shared" si="13"/>
        <v>68965.980243445461</v>
      </c>
      <c r="I92">
        <v>709</v>
      </c>
      <c r="J92" s="13">
        <f>Messdaten!W92-Messdaten!F92</f>
        <v>25736.1201</v>
      </c>
      <c r="K92">
        <f t="shared" si="14"/>
        <v>0.18131784954548263</v>
      </c>
      <c r="L92">
        <f t="shared" si="15"/>
        <v>3.998369409636689E-3</v>
      </c>
      <c r="M92">
        <v>489</v>
      </c>
      <c r="N92" s="13">
        <f>Messdaten!Z92-Messdaten!L92</f>
        <v>3148.5164</v>
      </c>
      <c r="O92">
        <f t="shared" si="16"/>
        <v>5.0085020206498488E-3</v>
      </c>
      <c r="P92">
        <f t="shared" si="17"/>
        <v>1144.524670348675</v>
      </c>
      <c r="Q92">
        <v>569</v>
      </c>
      <c r="R92">
        <f>Messdaten!AE92-Messdaten!C92</f>
        <v>20356.909309999999</v>
      </c>
      <c r="S92">
        <f t="shared" si="18"/>
        <v>0.19866670409866993</v>
      </c>
      <c r="U92">
        <v>569</v>
      </c>
      <c r="V92">
        <f>Messdaten!AH92-Messdaten!C92</f>
        <v>19644.885320000001</v>
      </c>
      <c r="W92">
        <f t="shared" si="19"/>
        <v>0.20105187067795594</v>
      </c>
      <c r="Y92" s="14">
        <f>A92</f>
        <v>569</v>
      </c>
      <c r="Z92">
        <f>D92*P172*Y92^4</f>
        <v>12349365703564.463</v>
      </c>
      <c r="AA92">
        <f>(Z92+Z93)/2*(Y93-Y92)</f>
        <v>12397753821101.652</v>
      </c>
    </row>
    <row r="93" spans="1:27" x14ac:dyDescent="0.2">
      <c r="A93">
        <v>570</v>
      </c>
      <c r="B93" s="13">
        <f>Messdaten!Q93-Messdaten!C93</f>
        <v>24872.12614</v>
      </c>
      <c r="C93">
        <f t="shared" si="10"/>
        <v>0.21242059916336464</v>
      </c>
      <c r="D93">
        <f t="shared" si="11"/>
        <v>4.1697588000181264E-3</v>
      </c>
      <c r="E93">
        <v>490</v>
      </c>
      <c r="F93" s="13">
        <f>Messdaten!T93-Messdaten!I93</f>
        <v>251291.74065000002</v>
      </c>
      <c r="G93">
        <f t="shared" si="12"/>
        <v>0.98391135416662001</v>
      </c>
      <c r="H93">
        <f t="shared" si="13"/>
        <v>69868.019813441628</v>
      </c>
      <c r="I93">
        <v>710</v>
      </c>
      <c r="J93" s="13">
        <f>Messdaten!W93-Messdaten!F93</f>
        <v>24508.010039999997</v>
      </c>
      <c r="K93">
        <f t="shared" si="14"/>
        <v>0.17225807465303911</v>
      </c>
      <c r="L93">
        <f t="shared" si="15"/>
        <v>3.8075699543772662E-3</v>
      </c>
      <c r="M93">
        <v>490</v>
      </c>
      <c r="N93" s="13">
        <f>Messdaten!Z93-Messdaten!L93</f>
        <v>2957.9758699999998</v>
      </c>
      <c r="O93">
        <f t="shared" si="16"/>
        <v>4.7315664532091824E-3</v>
      </c>
      <c r="P93">
        <f t="shared" si="17"/>
        <v>1075.260829993163</v>
      </c>
      <c r="Q93">
        <v>570</v>
      </c>
      <c r="R93">
        <f>Messdaten!AE93-Messdaten!C93</f>
        <v>19567.063289999998</v>
      </c>
      <c r="S93">
        <f t="shared" si="18"/>
        <v>0.19101245185735138</v>
      </c>
      <c r="U93">
        <v>570</v>
      </c>
      <c r="V93">
        <f>Messdaten!AH93-Messdaten!C93</f>
        <v>18781.472829999999</v>
      </c>
      <c r="W93">
        <f t="shared" si="19"/>
        <v>0.19243400802948807</v>
      </c>
      <c r="Y93" s="14">
        <f>A93</f>
        <v>570</v>
      </c>
      <c r="Z93">
        <f>D93*P173*Y93^4</f>
        <v>12446141938638.844</v>
      </c>
      <c r="AA93">
        <f>(Z93+Z94)/2*(Y94-Y93)</f>
        <v>12612018314554.465</v>
      </c>
    </row>
    <row r="94" spans="1:27" x14ac:dyDescent="0.2">
      <c r="A94">
        <v>571</v>
      </c>
      <c r="B94" s="13">
        <f>Messdaten!Q94-Messdaten!C94</f>
        <v>24156.54422</v>
      </c>
      <c r="C94">
        <f t="shared" si="10"/>
        <v>0.20649668508250577</v>
      </c>
      <c r="D94">
        <f t="shared" si="11"/>
        <v>4.049793020202655E-3</v>
      </c>
      <c r="E94">
        <v>491</v>
      </c>
      <c r="F94" s="13">
        <f>Messdaten!T94-Messdaten!I94</f>
        <v>255363.09221</v>
      </c>
      <c r="G94">
        <f t="shared" si="12"/>
        <v>1</v>
      </c>
      <c r="H94">
        <f t="shared" si="13"/>
        <v>71000</v>
      </c>
      <c r="I94">
        <v>711</v>
      </c>
      <c r="J94" s="13">
        <f>Messdaten!W94-Messdaten!F94</f>
        <v>25702.61405</v>
      </c>
      <c r="K94">
        <f t="shared" si="14"/>
        <v>0.18107067522420484</v>
      </c>
      <c r="L94">
        <f t="shared" si="15"/>
        <v>3.993163902169472E-3</v>
      </c>
      <c r="M94">
        <v>491</v>
      </c>
      <c r="N94" s="13">
        <f>Messdaten!Z94-Messdaten!L94</f>
        <v>3636.0769699999996</v>
      </c>
      <c r="O94">
        <f t="shared" si="16"/>
        <v>5.7171326889630123E-3</v>
      </c>
      <c r="P94">
        <f t="shared" si="17"/>
        <v>1321.7589704953289</v>
      </c>
      <c r="Q94">
        <v>571</v>
      </c>
      <c r="R94">
        <f>Messdaten!AE94-Messdaten!C94</f>
        <v>18686.202099999999</v>
      </c>
      <c r="S94">
        <f t="shared" si="18"/>
        <v>0.18247618837418791</v>
      </c>
      <c r="U94">
        <v>571</v>
      </c>
      <c r="V94">
        <f>Messdaten!AH94-Messdaten!C94</f>
        <v>18168.720249999998</v>
      </c>
      <c r="W94">
        <f t="shared" si="19"/>
        <v>0.18631802333724171</v>
      </c>
      <c r="Y94" s="14">
        <f>A94</f>
        <v>571</v>
      </c>
      <c r="Z94">
        <f>D94*P174*Y94^4</f>
        <v>12777894690470.086</v>
      </c>
      <c r="AA94">
        <f>(Z94+Z95)/2*(Y95-Y94)</f>
        <v>12895597242668.545</v>
      </c>
    </row>
    <row r="95" spans="1:27" x14ac:dyDescent="0.2">
      <c r="A95">
        <v>572</v>
      </c>
      <c r="B95" s="13">
        <f>Messdaten!Q95-Messdaten!C95</f>
        <v>23575.265809999997</v>
      </c>
      <c r="C95">
        <f t="shared" si="10"/>
        <v>0.20168459682027257</v>
      </c>
      <c r="D95">
        <f t="shared" si="11"/>
        <v>3.9523429368557373E-3</v>
      </c>
      <c r="E95">
        <v>492</v>
      </c>
      <c r="F95" s="13">
        <f>Messdaten!T95-Messdaten!I95</f>
        <v>253063.57801</v>
      </c>
      <c r="G95">
        <f t="shared" si="12"/>
        <v>0.99091307419479435</v>
      </c>
      <c r="H95">
        <f t="shared" si="13"/>
        <v>70360.653464887801</v>
      </c>
      <c r="I95">
        <v>712</v>
      </c>
      <c r="J95" s="13">
        <f>Messdaten!W95-Messdaten!F95</f>
        <v>24487.340030000003</v>
      </c>
      <c r="K95">
        <f t="shared" si="14"/>
        <v>0.1721055918717935</v>
      </c>
      <c r="L95">
        <f t="shared" si="15"/>
        <v>3.8043586569726949E-3</v>
      </c>
      <c r="M95">
        <v>492</v>
      </c>
      <c r="N95" s="13">
        <f>Messdaten!Z95-Messdaten!L95</f>
        <v>3512.8615600000003</v>
      </c>
      <c r="O95">
        <f t="shared" si="16"/>
        <v>5.5380488505492953E-3</v>
      </c>
      <c r="P95">
        <f t="shared" si="17"/>
        <v>1276.9686443238895</v>
      </c>
      <c r="Q95">
        <v>572</v>
      </c>
      <c r="R95">
        <f>Messdaten!AE95-Messdaten!C95</f>
        <v>18250.922889999998</v>
      </c>
      <c r="S95">
        <f t="shared" si="18"/>
        <v>0.17825797775543734</v>
      </c>
      <c r="U95">
        <v>572</v>
      </c>
      <c r="V95">
        <f>Messdaten!AH95-Messdaten!C95</f>
        <v>17492.276879999998</v>
      </c>
      <c r="W95">
        <f t="shared" si="19"/>
        <v>0.17956633035197261</v>
      </c>
      <c r="Y95" s="14">
        <f>A95</f>
        <v>572</v>
      </c>
      <c r="Z95">
        <f>D95*P175*Y95^4</f>
        <v>13013299794867.004</v>
      </c>
      <c r="AA95">
        <f>(Z95+Z96)/2*(Y96-Y95)</f>
        <v>13070990952740.016</v>
      </c>
    </row>
    <row r="96" spans="1:27" x14ac:dyDescent="0.2">
      <c r="A96">
        <v>573</v>
      </c>
      <c r="B96" s="13">
        <f>Messdaten!Q96-Messdaten!C96</f>
        <v>22360.89345</v>
      </c>
      <c r="C96">
        <f t="shared" si="10"/>
        <v>0.19163146758133115</v>
      </c>
      <c r="D96">
        <f t="shared" si="11"/>
        <v>3.7487560056015858E-3</v>
      </c>
      <c r="E96">
        <v>493</v>
      </c>
      <c r="F96" s="13">
        <f>Messdaten!T96-Messdaten!I96</f>
        <v>249585.42225</v>
      </c>
      <c r="G96">
        <f t="shared" si="12"/>
        <v>0.97716854357607996</v>
      </c>
      <c r="H96">
        <f t="shared" si="13"/>
        <v>69393.602757509463</v>
      </c>
      <c r="I96">
        <v>713</v>
      </c>
      <c r="J96" s="13">
        <f>Messdaten!W96-Messdaten!F96</f>
        <v>24313.232960000001</v>
      </c>
      <c r="K96">
        <f t="shared" si="14"/>
        <v>0.1708212030268858</v>
      </c>
      <c r="L96">
        <f t="shared" si="15"/>
        <v>3.7773093434015528E-3</v>
      </c>
      <c r="M96">
        <v>493</v>
      </c>
      <c r="N96" s="13">
        <f>Messdaten!Z96-Messdaten!L96</f>
        <v>3779.4701100000002</v>
      </c>
      <c r="O96">
        <f t="shared" si="16"/>
        <v>5.9255432596326705E-3</v>
      </c>
      <c r="P96">
        <f t="shared" si="17"/>
        <v>1373.884151195916</v>
      </c>
      <c r="Q96">
        <v>573</v>
      </c>
      <c r="R96">
        <f>Messdaten!AE96-Messdaten!C96</f>
        <v>17426.512790000001</v>
      </c>
      <c r="S96">
        <f t="shared" si="18"/>
        <v>0.17026877138368071</v>
      </c>
      <c r="U96">
        <v>573</v>
      </c>
      <c r="V96">
        <f>Messdaten!AH96-Messdaten!C96</f>
        <v>16626.636930000001</v>
      </c>
      <c r="W96">
        <f t="shared" si="19"/>
        <v>0.17092623505739732</v>
      </c>
      <c r="Y96" s="14">
        <f>A96</f>
        <v>573</v>
      </c>
      <c r="Z96">
        <f>D96*P176*Y96^4</f>
        <v>13128682110613.027</v>
      </c>
      <c r="AA96">
        <f>(Z96+Z97)/2*(Y97-Y96)</f>
        <v>13291031487956.949</v>
      </c>
    </row>
    <row r="97" spans="1:27" x14ac:dyDescent="0.2">
      <c r="A97">
        <v>574</v>
      </c>
      <c r="B97" s="13">
        <f>Messdaten!Q97-Messdaten!C97</f>
        <v>21429.767359999998</v>
      </c>
      <c r="C97">
        <f t="shared" si="10"/>
        <v>0.18392318037976788</v>
      </c>
      <c r="D97">
        <f t="shared" si="11"/>
        <v>3.592654706265542E-3</v>
      </c>
      <c r="E97">
        <v>494</v>
      </c>
      <c r="F97" s="13">
        <f>Messdaten!T97-Messdaten!I97</f>
        <v>245804.85045</v>
      </c>
      <c r="G97">
        <f t="shared" si="12"/>
        <v>0.96222896396928614</v>
      </c>
      <c r="H97">
        <f t="shared" si="13"/>
        <v>68342.469661191601</v>
      </c>
      <c r="I97">
        <v>714</v>
      </c>
      <c r="J97" s="13">
        <f>Messdaten!W97-Messdaten!F97</f>
        <v>24553.524129999998</v>
      </c>
      <c r="K97">
        <f t="shared" si="14"/>
        <v>0.17259383235364326</v>
      </c>
      <c r="L97">
        <f t="shared" si="15"/>
        <v>3.8146410336408203E-3</v>
      </c>
      <c r="M97">
        <v>494</v>
      </c>
      <c r="N97" s="13">
        <f>Messdaten!Z97-Messdaten!L97</f>
        <v>3713.0791800000002</v>
      </c>
      <c r="O97">
        <f t="shared" si="16"/>
        <v>5.8290493017725577E-3</v>
      </c>
      <c r="P97">
        <f t="shared" si="17"/>
        <v>1349.7502266362751</v>
      </c>
      <c r="Q97">
        <v>574</v>
      </c>
      <c r="R97">
        <f>Messdaten!AE97-Messdaten!C97</f>
        <v>16514.123809999997</v>
      </c>
      <c r="S97">
        <f t="shared" si="18"/>
        <v>0.16142697789699662</v>
      </c>
      <c r="U97">
        <v>574</v>
      </c>
      <c r="V97">
        <f>Messdaten!AH97-Messdaten!C97</f>
        <v>16286.499449999999</v>
      </c>
      <c r="W97">
        <f t="shared" si="19"/>
        <v>0.16753126669848931</v>
      </c>
      <c r="Y97" s="14">
        <f>A97</f>
        <v>574</v>
      </c>
      <c r="Z97">
        <f>D97*P177*Y97^4</f>
        <v>13453380865300.869</v>
      </c>
      <c r="AA97">
        <f>(Z97+Z98)/2*(Y98-Y97)</f>
        <v>13493410152003.238</v>
      </c>
    </row>
    <row r="98" spans="1:27" x14ac:dyDescent="0.2">
      <c r="A98">
        <v>575</v>
      </c>
      <c r="B98" s="13">
        <f>Messdaten!Q98-Messdaten!C98</f>
        <v>20752.47712</v>
      </c>
      <c r="C98">
        <f t="shared" si="10"/>
        <v>0.17831626232129555</v>
      </c>
      <c r="D98">
        <f t="shared" si="11"/>
        <v>3.4791084447794952E-3</v>
      </c>
      <c r="E98">
        <v>495</v>
      </c>
      <c r="F98" s="13">
        <f>Messdaten!T98-Messdaten!I98</f>
        <v>239215.10570000001</v>
      </c>
      <c r="G98">
        <f t="shared" si="12"/>
        <v>0.93618845436143361</v>
      </c>
      <c r="H98">
        <f t="shared" si="13"/>
        <v>66510.28681440324</v>
      </c>
      <c r="I98">
        <v>715</v>
      </c>
      <c r="J98" s="13">
        <f>Messdaten!W98-Messdaten!F98</f>
        <v>24062.146890000004</v>
      </c>
      <c r="K98">
        <f t="shared" si="14"/>
        <v>0.16896893966147675</v>
      </c>
      <c r="L98">
        <f t="shared" si="15"/>
        <v>3.7383005550693173E-3</v>
      </c>
      <c r="M98">
        <v>495</v>
      </c>
      <c r="N98" s="13">
        <f>Messdaten!Z98-Messdaten!L98</f>
        <v>4195.3148799999999</v>
      </c>
      <c r="O98">
        <f t="shared" si="16"/>
        <v>6.529940693329234E-3</v>
      </c>
      <c r="P98">
        <f t="shared" si="17"/>
        <v>1525.048870649329</v>
      </c>
      <c r="Q98">
        <v>575</v>
      </c>
      <c r="R98">
        <f>Messdaten!AE98-Messdaten!C98</f>
        <v>15870.403350000001</v>
      </c>
      <c r="S98">
        <f t="shared" si="18"/>
        <v>0.15518880153226974</v>
      </c>
      <c r="U98">
        <v>575</v>
      </c>
      <c r="V98">
        <f>Messdaten!AH98-Messdaten!C98</f>
        <v>15284.723900000001</v>
      </c>
      <c r="W98">
        <f t="shared" si="19"/>
        <v>0.15753237949859103</v>
      </c>
      <c r="Y98" s="14">
        <f>A98</f>
        <v>575</v>
      </c>
      <c r="Z98">
        <f>D98*P178*Y98^4</f>
        <v>13533439438705.607</v>
      </c>
      <c r="AA98">
        <f>(Z98+Z99)/2*(Y99-Y98)</f>
        <v>13519210579853.277</v>
      </c>
    </row>
    <row r="99" spans="1:27" x14ac:dyDescent="0.2">
      <c r="A99">
        <v>576</v>
      </c>
      <c r="B99" s="13">
        <f>Messdaten!Q99-Messdaten!C99</f>
        <v>19853.704700000002</v>
      </c>
      <c r="C99">
        <f t="shared" si="10"/>
        <v>0.17087581358228102</v>
      </c>
      <c r="D99">
        <f t="shared" si="11"/>
        <v>3.3284311690848578E-3</v>
      </c>
      <c r="E99">
        <v>496</v>
      </c>
      <c r="F99" s="13">
        <f>Messdaten!T99-Messdaten!I99</f>
        <v>232592.58877999999</v>
      </c>
      <c r="G99">
        <f t="shared" si="12"/>
        <v>0.91001843988804643</v>
      </c>
      <c r="H99">
        <f t="shared" si="13"/>
        <v>64668.992141587602</v>
      </c>
      <c r="I99">
        <v>716</v>
      </c>
      <c r="J99" s="13">
        <f>Messdaten!W99-Messdaten!F99</f>
        <v>23517.37239</v>
      </c>
      <c r="K99">
        <f t="shared" si="14"/>
        <v>0.16495013507881295</v>
      </c>
      <c r="L99">
        <f t="shared" si="15"/>
        <v>3.6536642661692616E-3</v>
      </c>
      <c r="M99">
        <v>496</v>
      </c>
      <c r="N99" s="13">
        <f>Messdaten!Z99-Messdaten!L99</f>
        <v>3996.2080900000001</v>
      </c>
      <c r="O99">
        <f t="shared" si="16"/>
        <v>6.2405547455209676E-3</v>
      </c>
      <c r="P99">
        <f t="shared" si="17"/>
        <v>1452.671088787074</v>
      </c>
      <c r="Q99">
        <v>576</v>
      </c>
      <c r="R99">
        <f>Messdaten!AE99-Messdaten!C99</f>
        <v>15523.18773</v>
      </c>
      <c r="S99">
        <f t="shared" si="18"/>
        <v>0.1518239989374478</v>
      </c>
      <c r="U99">
        <v>576</v>
      </c>
      <c r="V99">
        <f>Messdaten!AH99-Messdaten!C99</f>
        <v>14952.282519999999</v>
      </c>
      <c r="W99">
        <f t="shared" si="19"/>
        <v>0.15421422718473335</v>
      </c>
      <c r="Y99" s="14">
        <f>A99</f>
        <v>576</v>
      </c>
      <c r="Z99">
        <f>D99*P179*Y99^4</f>
        <v>13504981721000.947</v>
      </c>
      <c r="AA99">
        <f>(Z99+Z100)/2*(Y100-Y99)</f>
        <v>13601859973478.473</v>
      </c>
    </row>
    <row r="100" spans="1:27" x14ac:dyDescent="0.2">
      <c r="A100">
        <v>577</v>
      </c>
      <c r="B100" s="13">
        <f>Messdaten!Q100-Messdaten!C100</f>
        <v>19126.60082</v>
      </c>
      <c r="C100">
        <f t="shared" si="10"/>
        <v>0.16485651545219529</v>
      </c>
      <c r="D100">
        <f t="shared" si="11"/>
        <v>3.2065337572957852E-3</v>
      </c>
      <c r="E100">
        <v>497</v>
      </c>
      <c r="F100" s="13">
        <f>Messdaten!T100-Messdaten!I100</f>
        <v>223089.46561999997</v>
      </c>
      <c r="G100">
        <f t="shared" si="12"/>
        <v>0.87246521448389303</v>
      </c>
      <c r="H100">
        <f t="shared" si="13"/>
        <v>62026.786729205065</v>
      </c>
      <c r="I100">
        <v>717</v>
      </c>
      <c r="J100" s="13">
        <f>Messdaten!W100-Messdaten!F100</f>
        <v>23960.84953</v>
      </c>
      <c r="K100">
        <f t="shared" si="14"/>
        <v>0.16822166846104472</v>
      </c>
      <c r="L100">
        <f t="shared" si="15"/>
        <v>3.7225629744267333E-3</v>
      </c>
      <c r="M100">
        <v>497</v>
      </c>
      <c r="N100" s="13">
        <f>Messdaten!Z100-Messdaten!L100</f>
        <v>5026.5248099999999</v>
      </c>
      <c r="O100">
        <f t="shared" si="16"/>
        <v>7.7380384855777707E-3</v>
      </c>
      <c r="P100">
        <f t="shared" si="17"/>
        <v>1827.2039653865822</v>
      </c>
      <c r="Q100">
        <v>577</v>
      </c>
      <c r="R100">
        <f>Messdaten!AE100-Messdaten!C100</f>
        <v>14842.697679999999</v>
      </c>
      <c r="S100">
        <f t="shared" si="18"/>
        <v>0.14522949525126416</v>
      </c>
      <c r="U100">
        <v>577</v>
      </c>
      <c r="V100">
        <f>Messdaten!AH100-Messdaten!C100</f>
        <v>14269.599459999999</v>
      </c>
      <c r="W100">
        <f t="shared" si="19"/>
        <v>0.14740025482313857</v>
      </c>
      <c r="Y100" s="14">
        <f>A100</f>
        <v>577</v>
      </c>
      <c r="Z100">
        <f>D100*P180*Y100^4</f>
        <v>13698738225955.996</v>
      </c>
      <c r="AA100">
        <f>(Z100+Z101)/2*(Y101-Y100)</f>
        <v>13680600979760.328</v>
      </c>
    </row>
    <row r="101" spans="1:27" x14ac:dyDescent="0.2">
      <c r="A101">
        <v>578</v>
      </c>
      <c r="B101" s="13">
        <f>Messdaten!Q101-Messdaten!C101</f>
        <v>18137.228350000001</v>
      </c>
      <c r="C101">
        <f t="shared" si="10"/>
        <v>0.1566660381044066</v>
      </c>
      <c r="D101">
        <f t="shared" si="11"/>
        <v>3.0406675768149972E-3</v>
      </c>
      <c r="E101">
        <v>498</v>
      </c>
      <c r="F101" s="13">
        <f>Messdaten!T101-Messdaten!I101</f>
        <v>214256.29087</v>
      </c>
      <c r="G101">
        <f t="shared" si="12"/>
        <v>0.83755940543184815</v>
      </c>
      <c r="H101">
        <f t="shared" si="13"/>
        <v>59570.850744790172</v>
      </c>
      <c r="I101">
        <v>718</v>
      </c>
      <c r="J101" s="13">
        <f>Messdaten!W101-Messdaten!F101</f>
        <v>24619.269399999997</v>
      </c>
      <c r="K101">
        <f t="shared" si="14"/>
        <v>0.17307883558408899</v>
      </c>
      <c r="L101">
        <f t="shared" si="15"/>
        <v>3.8248552335814054E-3</v>
      </c>
      <c r="M101">
        <v>498</v>
      </c>
      <c r="N101" s="13">
        <f>Messdaten!Z101-Messdaten!L101</f>
        <v>4985.94308</v>
      </c>
      <c r="O101">
        <f t="shared" si="16"/>
        <v>7.6790561555439779E-3</v>
      </c>
      <c r="P101">
        <f t="shared" si="17"/>
        <v>1812.4520043834798</v>
      </c>
      <c r="Q101">
        <v>578</v>
      </c>
      <c r="R101">
        <f>Messdaten!AE101-Messdaten!C101</f>
        <v>14169.900180000001</v>
      </c>
      <c r="S101">
        <f t="shared" si="18"/>
        <v>0.13870953864968691</v>
      </c>
      <c r="U101">
        <v>578</v>
      </c>
      <c r="V101">
        <f>Messdaten!AH101-Messdaten!C101</f>
        <v>13619.073969999999</v>
      </c>
      <c r="W101">
        <f t="shared" si="19"/>
        <v>0.1409072524782834</v>
      </c>
      <c r="Y101" s="14">
        <f>A101</f>
        <v>578</v>
      </c>
      <c r="Z101">
        <f>D101*P181*Y101^4</f>
        <v>13662463733564.662</v>
      </c>
      <c r="AA101">
        <f>(Z101+Z102)/2*(Y102-Y101)</f>
        <v>13893342774379.547</v>
      </c>
    </row>
    <row r="102" spans="1:27" x14ac:dyDescent="0.2">
      <c r="A102">
        <v>579</v>
      </c>
      <c r="B102" s="13">
        <f>Messdaten!Q102-Messdaten!C102</f>
        <v>18069.006830000002</v>
      </c>
      <c r="C102">
        <f t="shared" si="10"/>
        <v>0.15610126919165151</v>
      </c>
      <c r="D102">
        <f t="shared" si="11"/>
        <v>3.02923038476437E-3</v>
      </c>
      <c r="E102">
        <v>499</v>
      </c>
      <c r="F102" s="13">
        <f>Messdaten!T102-Messdaten!I102</f>
        <v>203526.15923999998</v>
      </c>
      <c r="G102">
        <f t="shared" si="12"/>
        <v>0.79515744505173813</v>
      </c>
      <c r="H102">
        <f t="shared" si="13"/>
        <v>56587.493443087791</v>
      </c>
      <c r="I102">
        <v>719</v>
      </c>
      <c r="J102" s="13">
        <f>Messdaten!W102-Messdaten!F102</f>
        <v>23677.546119999999</v>
      </c>
      <c r="K102">
        <f t="shared" si="14"/>
        <v>0.1661317375953521</v>
      </c>
      <c r="L102">
        <f t="shared" si="15"/>
        <v>3.6785488929028535E-3</v>
      </c>
      <c r="M102">
        <v>499</v>
      </c>
      <c r="N102" s="13">
        <f>Messdaten!Z102-Messdaten!L102</f>
        <v>5220.81988</v>
      </c>
      <c r="O102">
        <f t="shared" si="16"/>
        <v>8.0204309795074043E-3</v>
      </c>
      <c r="P102">
        <f t="shared" si="17"/>
        <v>1897.8326274898266</v>
      </c>
      <c r="Q102">
        <v>579</v>
      </c>
      <c r="R102">
        <f>Messdaten!AE102-Messdaten!C102</f>
        <v>13393.92592</v>
      </c>
      <c r="S102">
        <f t="shared" si="18"/>
        <v>0.131189715078492</v>
      </c>
      <c r="U102">
        <v>579</v>
      </c>
      <c r="V102">
        <f>Messdaten!AH102-Messdaten!C102</f>
        <v>13168.130800000001</v>
      </c>
      <c r="W102">
        <f t="shared" si="19"/>
        <v>0.13640631422879773</v>
      </c>
      <c r="Y102" s="14">
        <f>A102</f>
        <v>579</v>
      </c>
      <c r="Z102">
        <f>D102*P182*Y102^4</f>
        <v>14124221815194.432</v>
      </c>
      <c r="AA102">
        <f>(Z102+Z103)/2*(Y103-Y102)</f>
        <v>14178338101764.705</v>
      </c>
    </row>
    <row r="103" spans="1:27" x14ac:dyDescent="0.2">
      <c r="A103">
        <v>580</v>
      </c>
      <c r="B103" s="13">
        <f>Messdaten!Q103-Messdaten!C103</f>
        <v>16993.16619</v>
      </c>
      <c r="C103">
        <f t="shared" si="10"/>
        <v>0.14719496882557148</v>
      </c>
      <c r="D103">
        <f t="shared" si="11"/>
        <v>2.8488680003503309E-3</v>
      </c>
      <c r="E103">
        <v>500</v>
      </c>
      <c r="F103" s="13">
        <f>Messdaten!T103-Messdaten!I103</f>
        <v>190883.99702000001</v>
      </c>
      <c r="G103">
        <f t="shared" si="12"/>
        <v>0.74519976698629553</v>
      </c>
      <c r="H103">
        <f t="shared" si="13"/>
        <v>53072.523797897826</v>
      </c>
      <c r="I103">
        <v>720</v>
      </c>
      <c r="J103" s="13">
        <f>Messdaten!W103-Messdaten!F103</f>
        <v>23919.380560000001</v>
      </c>
      <c r="K103">
        <f t="shared" si="14"/>
        <v>0.16791575163367059</v>
      </c>
      <c r="L103">
        <f t="shared" si="15"/>
        <v>3.7161203459165747E-3</v>
      </c>
      <c r="M103">
        <v>500</v>
      </c>
      <c r="N103" s="13">
        <f>Messdaten!Z103-Messdaten!L103</f>
        <v>4969.35473</v>
      </c>
      <c r="O103">
        <f t="shared" si="16"/>
        <v>7.6549463027995026E-3</v>
      </c>
      <c r="P103">
        <f t="shared" si="17"/>
        <v>1806.4219338984162</v>
      </c>
      <c r="Q103">
        <v>580</v>
      </c>
      <c r="R103">
        <f>Messdaten!AE103-Messdaten!C103</f>
        <v>13121.81453</v>
      </c>
      <c r="S103">
        <f t="shared" si="18"/>
        <v>0.12855273373775447</v>
      </c>
      <c r="U103">
        <v>580</v>
      </c>
      <c r="V103">
        <f>Messdaten!AH103-Messdaten!C103</f>
        <v>12375.42137</v>
      </c>
      <c r="W103">
        <f t="shared" si="19"/>
        <v>0.12849415049824384</v>
      </c>
      <c r="Y103" s="14">
        <f>A103</f>
        <v>580</v>
      </c>
      <c r="Z103">
        <f>D103*P183*Y103^4</f>
        <v>14232454388334.979</v>
      </c>
      <c r="AA103">
        <f>(Z103+Z104)/2*(Y104-Y103)</f>
        <v>14195385587460.789</v>
      </c>
    </row>
    <row r="104" spans="1:27" x14ac:dyDescent="0.2">
      <c r="A104">
        <v>581</v>
      </c>
      <c r="B104" s="13">
        <f>Messdaten!Q104-Messdaten!C104</f>
        <v>16142.342259999999</v>
      </c>
      <c r="C104">
        <f t="shared" si="10"/>
        <v>0.14015145959428918</v>
      </c>
      <c r="D104">
        <f t="shared" si="11"/>
        <v>2.7062291865467152E-3</v>
      </c>
      <c r="E104">
        <v>501</v>
      </c>
      <c r="F104" s="13">
        <f>Messdaten!T104-Messdaten!I104</f>
        <v>177554.14049000002</v>
      </c>
      <c r="G104">
        <f t="shared" si="12"/>
        <v>0.69252454659315954</v>
      </c>
      <c r="H104">
        <f t="shared" si="13"/>
        <v>49366.350734909909</v>
      </c>
      <c r="I104">
        <v>721</v>
      </c>
      <c r="J104" s="13">
        <f>Messdaten!W104-Messdaten!F104</f>
        <v>23332.36246</v>
      </c>
      <c r="K104">
        <f t="shared" si="14"/>
        <v>0.16358531577372012</v>
      </c>
      <c r="L104">
        <f t="shared" si="15"/>
        <v>3.62492108181526E-3</v>
      </c>
      <c r="M104">
        <v>501</v>
      </c>
      <c r="N104" s="13">
        <f>Messdaten!Z104-Messdaten!L104</f>
        <v>5142.8213499999993</v>
      </c>
      <c r="O104">
        <f t="shared" si="16"/>
        <v>7.9070662944974064E-3</v>
      </c>
      <c r="P104">
        <f t="shared" si="17"/>
        <v>1869.4791967006674</v>
      </c>
      <c r="Q104">
        <v>581</v>
      </c>
      <c r="R104">
        <f>Messdaten!AE104-Messdaten!C104</f>
        <v>12452.502129999999</v>
      </c>
      <c r="S104">
        <f t="shared" si="18"/>
        <v>0.1220665505981062</v>
      </c>
      <c r="U104">
        <v>581</v>
      </c>
      <c r="V104">
        <f>Messdaten!AH104-Messdaten!C104</f>
        <v>12115.537979999999</v>
      </c>
      <c r="W104">
        <f t="shared" si="19"/>
        <v>0.1259002114649572</v>
      </c>
      <c r="Y104" s="14">
        <f>A104</f>
        <v>581</v>
      </c>
      <c r="Z104">
        <f>D104*P184*Y104^4</f>
        <v>14158316786586.6</v>
      </c>
      <c r="AA104">
        <f>(Z104+Z105)/2*(Y105-Y104)</f>
        <v>14258683428932.688</v>
      </c>
    </row>
    <row r="105" spans="1:27" x14ac:dyDescent="0.2">
      <c r="A105">
        <v>582</v>
      </c>
      <c r="B105" s="13">
        <f>Messdaten!Q105-Messdaten!C105</f>
        <v>15502.32598</v>
      </c>
      <c r="C105">
        <f t="shared" si="10"/>
        <v>0.13485311240705039</v>
      </c>
      <c r="D105">
        <f t="shared" si="11"/>
        <v>2.5989318248067807E-3</v>
      </c>
      <c r="E105">
        <v>502</v>
      </c>
      <c r="F105" s="13">
        <f>Messdaten!T105-Messdaten!I105</f>
        <v>165370.10604000001</v>
      </c>
      <c r="G105">
        <f t="shared" si="12"/>
        <v>0.64437723919439693</v>
      </c>
      <c r="H105">
        <f t="shared" si="13"/>
        <v>45978.756864302304</v>
      </c>
      <c r="I105">
        <v>722</v>
      </c>
      <c r="J105" s="13">
        <f>Messdaten!W105-Messdaten!F105</f>
        <v>23151.295569999998</v>
      </c>
      <c r="K105">
        <f t="shared" si="14"/>
        <v>0.16224958429711708</v>
      </c>
      <c r="L105">
        <f t="shared" si="15"/>
        <v>3.5967904890428838E-3</v>
      </c>
      <c r="M105">
        <v>502</v>
      </c>
      <c r="N105" s="13">
        <f>Messdaten!Z105-Messdaten!L105</f>
        <v>5617.4255800000001</v>
      </c>
      <c r="O105">
        <f t="shared" si="16"/>
        <v>8.5968659489057912E-3</v>
      </c>
      <c r="P105">
        <f t="shared" si="17"/>
        <v>2042.003706938835</v>
      </c>
      <c r="Q105">
        <v>582</v>
      </c>
      <c r="R105">
        <f>Messdaten!AE105-Messdaten!C105</f>
        <v>11982.195169999999</v>
      </c>
      <c r="S105">
        <f t="shared" si="18"/>
        <v>0.1175088925083842</v>
      </c>
      <c r="U105">
        <v>582</v>
      </c>
      <c r="V105">
        <f>Messdaten!AH105-Messdaten!C105</f>
        <v>11604.001099999999</v>
      </c>
      <c r="W105">
        <f t="shared" si="19"/>
        <v>0.12079447738938716</v>
      </c>
      <c r="Y105" s="14">
        <f>A105</f>
        <v>582</v>
      </c>
      <c r="Z105">
        <f>D105*P185*Y105^4</f>
        <v>14359050071278.777</v>
      </c>
      <c r="AA105">
        <f>(Z105+Z106)/2*(Y106-Y105)</f>
        <v>14487113511028.832</v>
      </c>
    </row>
    <row r="106" spans="1:27" x14ac:dyDescent="0.2">
      <c r="A106">
        <v>583</v>
      </c>
      <c r="B106" s="13">
        <f>Messdaten!Q106-Messdaten!C106</f>
        <v>14911.948260000001</v>
      </c>
      <c r="C106">
        <f t="shared" si="10"/>
        <v>0.12996569589919152</v>
      </c>
      <c r="D106">
        <f t="shared" si="11"/>
        <v>2.4999562615819863E-3</v>
      </c>
      <c r="E106">
        <v>503</v>
      </c>
      <c r="F106" s="13">
        <f>Messdaten!T106-Messdaten!I106</f>
        <v>150905.52213</v>
      </c>
      <c r="G106">
        <f t="shared" si="12"/>
        <v>0.5872179484218758</v>
      </c>
      <c r="H106">
        <f t="shared" si="13"/>
        <v>41957.089329177652</v>
      </c>
      <c r="I106">
        <v>723</v>
      </c>
      <c r="J106" s="13">
        <f>Messdaten!W106-Messdaten!F106</f>
        <v>21773.593520000002</v>
      </c>
      <c r="K106">
        <f t="shared" si="14"/>
        <v>0.15208626844425455</v>
      </c>
      <c r="L106">
        <f t="shared" si="15"/>
        <v>3.3827503885572735E-3</v>
      </c>
      <c r="M106">
        <v>503</v>
      </c>
      <c r="N106" s="13">
        <f>Messdaten!Z106-Messdaten!L106</f>
        <v>6039.6706000000004</v>
      </c>
      <c r="O106">
        <f t="shared" si="16"/>
        <v>9.2105656390068704E-3</v>
      </c>
      <c r="P106">
        <f t="shared" si="17"/>
        <v>2195.4949964623288</v>
      </c>
      <c r="Q106">
        <v>583</v>
      </c>
      <c r="R106">
        <f>Messdaten!AE106-Messdaten!C106</f>
        <v>11537.44752</v>
      </c>
      <c r="S106">
        <f t="shared" si="18"/>
        <v>0.11319892498226609</v>
      </c>
      <c r="U106">
        <v>583</v>
      </c>
      <c r="V106">
        <f>Messdaten!AH106-Messdaten!C106</f>
        <v>11085.711240000001</v>
      </c>
      <c r="W106">
        <f t="shared" si="19"/>
        <v>0.11562134070523562</v>
      </c>
      <c r="Y106" s="14">
        <f>A106</f>
        <v>583</v>
      </c>
      <c r="Z106">
        <f>D106*P186*Y106^4</f>
        <v>14615176950778.887</v>
      </c>
      <c r="AA106">
        <f>(Z106+Z107)/2*(Y107-Y106)</f>
        <v>14661680558807.139</v>
      </c>
    </row>
    <row r="107" spans="1:27" x14ac:dyDescent="0.2">
      <c r="A107">
        <v>584</v>
      </c>
      <c r="B107" s="13">
        <f>Messdaten!Q107-Messdaten!C107</f>
        <v>14381.3177</v>
      </c>
      <c r="C107">
        <f t="shared" si="10"/>
        <v>0.12557289368009961</v>
      </c>
      <c r="D107">
        <f t="shared" si="11"/>
        <v>2.4109971820620336E-3</v>
      </c>
      <c r="E107">
        <v>504</v>
      </c>
      <c r="F107" s="13">
        <f>Messdaten!T107-Messdaten!I107</f>
        <v>138503.69730999999</v>
      </c>
      <c r="G107">
        <f t="shared" si="12"/>
        <v>0.53821000492298454</v>
      </c>
      <c r="H107">
        <f t="shared" si="13"/>
        <v>38508.942008436832</v>
      </c>
      <c r="I107">
        <v>724</v>
      </c>
      <c r="J107" s="13">
        <f>Messdaten!W107-Messdaten!F107</f>
        <v>21617.515229999997</v>
      </c>
      <c r="K107">
        <f t="shared" si="14"/>
        <v>0.15093487801187133</v>
      </c>
      <c r="L107">
        <f t="shared" si="15"/>
        <v>3.3585020303035975E-3</v>
      </c>
      <c r="M107">
        <v>504</v>
      </c>
      <c r="N107" s="13">
        <f>Messdaten!Z107-Messdaten!L107</f>
        <v>6638.6563999999998</v>
      </c>
      <c r="O107">
        <f t="shared" si="16"/>
        <v>1.008114405301622E-2</v>
      </c>
      <c r="P107">
        <f t="shared" si="17"/>
        <v>2413.2337464617058</v>
      </c>
      <c r="Q107">
        <v>584</v>
      </c>
      <c r="R107">
        <f>Messdaten!AE107-Messdaten!C107</f>
        <v>11196.424499999999</v>
      </c>
      <c r="S107">
        <f t="shared" si="18"/>
        <v>0.1098941337329841</v>
      </c>
      <c r="U107">
        <v>584</v>
      </c>
      <c r="V107">
        <f>Messdaten!AH107-Messdaten!C107</f>
        <v>10660.697399999999</v>
      </c>
      <c r="W107">
        <f t="shared" si="19"/>
        <v>0.11137920738050471</v>
      </c>
      <c r="Y107" s="14">
        <f>A107</f>
        <v>584</v>
      </c>
      <c r="Z107">
        <f>D107*P187*Y107^4</f>
        <v>14708184166835.391</v>
      </c>
      <c r="AA107">
        <f>(Z107+Z108)/2*(Y108-Y107)</f>
        <v>14940756646418.551</v>
      </c>
    </row>
    <row r="108" spans="1:27" x14ac:dyDescent="0.2">
      <c r="A108">
        <v>585</v>
      </c>
      <c r="B108" s="13">
        <f>Messdaten!Q108-Messdaten!C108</f>
        <v>14045.687099999999</v>
      </c>
      <c r="C108">
        <f t="shared" si="10"/>
        <v>0.12279439022474802</v>
      </c>
      <c r="D108">
        <f t="shared" si="11"/>
        <v>2.3547294291555118E-3</v>
      </c>
      <c r="E108">
        <v>505</v>
      </c>
      <c r="F108" s="13">
        <f>Messdaten!T108-Messdaten!I108</f>
        <v>124326.06642</v>
      </c>
      <c r="G108">
        <f t="shared" si="12"/>
        <v>0.48218465835586116</v>
      </c>
      <c r="H108">
        <f t="shared" si="13"/>
        <v>34567.05759405873</v>
      </c>
      <c r="I108">
        <v>725</v>
      </c>
      <c r="J108" s="13">
        <f>Messdaten!W108-Messdaten!F108</f>
        <v>22517.748179999999</v>
      </c>
      <c r="K108">
        <f t="shared" si="14"/>
        <v>0.1575759016003927</v>
      </c>
      <c r="L108">
        <f t="shared" si="15"/>
        <v>3.4983624239775845E-3</v>
      </c>
      <c r="M108">
        <v>505</v>
      </c>
      <c r="N108" s="13">
        <f>Messdaten!Z108-Messdaten!L108</f>
        <v>6754.2706500000004</v>
      </c>
      <c r="O108">
        <f t="shared" si="16"/>
        <v>1.024918020746576E-2</v>
      </c>
      <c r="P108">
        <f t="shared" si="17"/>
        <v>2455.2609569183069</v>
      </c>
      <c r="Q108">
        <v>585</v>
      </c>
      <c r="R108">
        <f>Messdaten!AE108-Messdaten!C108</f>
        <v>10503.171549999999</v>
      </c>
      <c r="S108">
        <f t="shared" si="18"/>
        <v>0.10317594713461622</v>
      </c>
      <c r="U108">
        <v>585</v>
      </c>
      <c r="V108">
        <f>Messdaten!AH108-Messdaten!C108</f>
        <v>10353.779570000001</v>
      </c>
      <c r="W108">
        <f t="shared" si="19"/>
        <v>0.10831580983421048</v>
      </c>
      <c r="Y108" s="14">
        <f>A108</f>
        <v>585</v>
      </c>
      <c r="Z108">
        <f>D108*P188*Y108^4</f>
        <v>15173329126001.709</v>
      </c>
      <c r="AA108">
        <f>(Z108+Z109)/2*(Y109-Y108)</f>
        <v>15163311636911.129</v>
      </c>
    </row>
    <row r="109" spans="1:27" x14ac:dyDescent="0.2">
      <c r="A109">
        <v>586</v>
      </c>
      <c r="B109" s="13">
        <f>Messdaten!Q109-Messdaten!C109</f>
        <v>13470.557360000001</v>
      </c>
      <c r="C109">
        <f t="shared" si="10"/>
        <v>0.1180332034620826</v>
      </c>
      <c r="D109">
        <f t="shared" si="11"/>
        <v>2.2583101571954697E-3</v>
      </c>
      <c r="E109">
        <v>506</v>
      </c>
      <c r="F109" s="13">
        <f>Messdaten!T109-Messdaten!I109</f>
        <v>112420.22757999999</v>
      </c>
      <c r="G109">
        <f t="shared" si="12"/>
        <v>0.43513668875088296</v>
      </c>
      <c r="H109">
        <f t="shared" si="13"/>
        <v>31256.811973501906</v>
      </c>
      <c r="I109">
        <v>726</v>
      </c>
      <c r="J109" s="13">
        <f>Messdaten!W109-Messdaten!F109</f>
        <v>22911.918849999998</v>
      </c>
      <c r="K109">
        <f t="shared" si="14"/>
        <v>0.16048370087320676</v>
      </c>
      <c r="L109">
        <f t="shared" si="15"/>
        <v>3.5596008679613764E-3</v>
      </c>
      <c r="M109">
        <v>506</v>
      </c>
      <c r="N109" s="13">
        <f>Messdaten!Z109-Messdaten!L109</f>
        <v>6815.7504300000001</v>
      </c>
      <c r="O109">
        <f t="shared" si="16"/>
        <v>1.0338536197818191E-2</v>
      </c>
      <c r="P109">
        <f t="shared" si="17"/>
        <v>2477.6096176836149</v>
      </c>
      <c r="Q109">
        <v>586</v>
      </c>
      <c r="R109">
        <f>Messdaten!AE109-Messdaten!C109</f>
        <v>10076.768310000001</v>
      </c>
      <c r="S109">
        <f t="shared" si="18"/>
        <v>9.9043751905632915E-2</v>
      </c>
      <c r="U109">
        <v>586</v>
      </c>
      <c r="V109">
        <f>Messdaten!AH109-Messdaten!C109</f>
        <v>9929.56358</v>
      </c>
      <c r="W109">
        <f t="shared" si="19"/>
        <v>0.10408163998208822</v>
      </c>
      <c r="Y109" s="14">
        <f>A109</f>
        <v>586</v>
      </c>
      <c r="Z109">
        <f>D109*P189*Y109^4</f>
        <v>15153294147820.551</v>
      </c>
      <c r="AA109">
        <f>(Z109+Z110)/2*(Y110-Y109)</f>
        <v>15100326149021.738</v>
      </c>
    </row>
    <row r="110" spans="1:27" x14ac:dyDescent="0.2">
      <c r="A110">
        <v>587</v>
      </c>
      <c r="B110" s="13">
        <f>Messdaten!Q110-Messdaten!C110</f>
        <v>12823.65149</v>
      </c>
      <c r="C110">
        <f t="shared" si="10"/>
        <v>0.11267782110099209</v>
      </c>
      <c r="D110">
        <f t="shared" si="11"/>
        <v>2.1498577704138753E-3</v>
      </c>
      <c r="E110">
        <v>507</v>
      </c>
      <c r="F110" s="13">
        <f>Messdaten!T110-Messdaten!I110</f>
        <v>98880.850940000004</v>
      </c>
      <c r="G110">
        <f t="shared" si="12"/>
        <v>0.38163351361223224</v>
      </c>
      <c r="H110">
        <f t="shared" si="13"/>
        <v>27492.384886092306</v>
      </c>
      <c r="I110">
        <v>727</v>
      </c>
      <c r="J110" s="13">
        <f>Messdaten!W110-Messdaten!F110</f>
        <v>21633.055179999999</v>
      </c>
      <c r="K110">
        <f t="shared" si="14"/>
        <v>0.15104951631134089</v>
      </c>
      <c r="L110">
        <f t="shared" si="15"/>
        <v>3.3609163204322522E-3</v>
      </c>
      <c r="M110">
        <v>507</v>
      </c>
      <c r="N110" s="13">
        <f>Messdaten!Z110-Messdaten!L110</f>
        <v>7362.8017899999995</v>
      </c>
      <c r="O110">
        <f t="shared" si="16"/>
        <v>1.1133632017068762E-2</v>
      </c>
      <c r="P110">
        <f t="shared" si="17"/>
        <v>2676.4695561193153</v>
      </c>
      <c r="Q110">
        <v>587</v>
      </c>
      <c r="R110">
        <f>Messdaten!AE110-Messdaten!C110</f>
        <v>9826.7935099999995</v>
      </c>
      <c r="S110">
        <f t="shared" si="18"/>
        <v>9.6621292179655968E-2</v>
      </c>
      <c r="U110">
        <v>587</v>
      </c>
      <c r="V110">
        <f>Messdaten!AH110-Messdaten!C110</f>
        <v>9423.5860699999994</v>
      </c>
      <c r="W110">
        <f t="shared" si="19"/>
        <v>9.9031394896574393E-2</v>
      </c>
      <c r="Y110" s="14">
        <f>A110</f>
        <v>587</v>
      </c>
      <c r="Z110">
        <f>D110*P190*Y110^4</f>
        <v>15047358150222.928</v>
      </c>
      <c r="AA110">
        <f>(Z110+Z111)/2*(Y111-Y110)</f>
        <v>15008185498504.652</v>
      </c>
    </row>
    <row r="111" spans="1:27" x14ac:dyDescent="0.2">
      <c r="A111">
        <v>588</v>
      </c>
      <c r="B111" s="13">
        <f>Messdaten!Q111-Messdaten!C111</f>
        <v>12250.197099999999</v>
      </c>
      <c r="C111">
        <f t="shared" si="10"/>
        <v>0.10793050365108874</v>
      </c>
      <c r="D111">
        <f t="shared" si="11"/>
        <v>2.0537193673014049E-3</v>
      </c>
      <c r="E111">
        <v>508</v>
      </c>
      <c r="F111" s="13">
        <f>Messdaten!T111-Messdaten!I111</f>
        <v>88191.986750000011</v>
      </c>
      <c r="G111">
        <f t="shared" si="12"/>
        <v>0.3393946286179802</v>
      </c>
      <c r="H111">
        <f t="shared" si="13"/>
        <v>24520.501396892138</v>
      </c>
      <c r="I111">
        <v>728</v>
      </c>
      <c r="J111" s="13">
        <f>Messdaten!W111-Messdaten!F111</f>
        <v>20342.471400000002</v>
      </c>
      <c r="K111">
        <f t="shared" si="14"/>
        <v>0.14152887243139511</v>
      </c>
      <c r="L111">
        <f t="shared" si="15"/>
        <v>3.1604109339763782E-3</v>
      </c>
      <c r="M111">
        <v>508</v>
      </c>
      <c r="N111" s="13">
        <f>Messdaten!Z111-Messdaten!L111</f>
        <v>7328.0507699999998</v>
      </c>
      <c r="O111">
        <f t="shared" si="16"/>
        <v>1.1083124162163342E-2</v>
      </c>
      <c r="P111">
        <f t="shared" si="17"/>
        <v>2663.8371303489494</v>
      </c>
      <c r="Q111">
        <v>588</v>
      </c>
      <c r="R111">
        <f>Messdaten!AE111-Messdaten!C111</f>
        <v>9301.8490099999999</v>
      </c>
      <c r="S111">
        <f t="shared" si="18"/>
        <v>9.1534151757409074E-2</v>
      </c>
      <c r="U111">
        <v>588</v>
      </c>
      <c r="V111">
        <f>Messdaten!AH111-Messdaten!C111</f>
        <v>9161.8832500000008</v>
      </c>
      <c r="W111">
        <f t="shared" si="19"/>
        <v>9.6419295831993226E-2</v>
      </c>
      <c r="Y111" s="14">
        <f>A111</f>
        <v>588</v>
      </c>
      <c r="Z111">
        <f>D111*P191*Y111^4</f>
        <v>14969012846786.379</v>
      </c>
      <c r="AA111">
        <f>(Z111+Z112)/2*(Y112-Y111)</f>
        <v>15109235015957.285</v>
      </c>
    </row>
    <row r="112" spans="1:27" x14ac:dyDescent="0.2">
      <c r="A112">
        <v>589</v>
      </c>
      <c r="B112" s="13">
        <f>Messdaten!Q112-Messdaten!C112</f>
        <v>11966.74696</v>
      </c>
      <c r="C112">
        <f t="shared" si="10"/>
        <v>0.10558397388470304</v>
      </c>
      <c r="D112">
        <f t="shared" si="11"/>
        <v>2.0061995570134303E-3</v>
      </c>
      <c r="E112">
        <v>509</v>
      </c>
      <c r="F112" s="13">
        <f>Messdaten!T112-Messdaten!I112</f>
        <v>77900.317469999995</v>
      </c>
      <c r="G112">
        <f t="shared" si="12"/>
        <v>0.29872532761558829</v>
      </c>
      <c r="H112">
        <f t="shared" si="13"/>
        <v>21659.052185276636</v>
      </c>
      <c r="I112">
        <v>729</v>
      </c>
      <c r="J112" s="13">
        <f>Messdaten!W112-Messdaten!F112</f>
        <v>21803.116050000001</v>
      </c>
      <c r="K112">
        <f t="shared" si="14"/>
        <v>0.15230405631585248</v>
      </c>
      <c r="L112">
        <f t="shared" si="15"/>
        <v>3.3873370154609561E-3</v>
      </c>
      <c r="M112">
        <v>509</v>
      </c>
      <c r="N112" s="13">
        <f>Messdaten!Z112-Messdaten!L112</f>
        <v>8319.7423699999999</v>
      </c>
      <c r="O112">
        <f t="shared" si="16"/>
        <v>1.2524469349836231E-2</v>
      </c>
      <c r="P112">
        <f t="shared" si="17"/>
        <v>3024.329297890954</v>
      </c>
      <c r="Q112">
        <v>589</v>
      </c>
      <c r="R112">
        <f>Messdaten!AE112-Messdaten!C112</f>
        <v>9027.1688300000005</v>
      </c>
      <c r="S112">
        <f t="shared" si="18"/>
        <v>8.8872276746111589E-2</v>
      </c>
      <c r="U112">
        <v>589</v>
      </c>
      <c r="V112">
        <f>Messdaten!AH112-Messdaten!C112</f>
        <v>8615.5734300000004</v>
      </c>
      <c r="W112">
        <f t="shared" si="19"/>
        <v>9.0966487299805804E-2</v>
      </c>
      <c r="Y112" s="14">
        <f>A112</f>
        <v>589</v>
      </c>
      <c r="Z112">
        <f>D112*P192*Y112^4</f>
        <v>15249457185128.189</v>
      </c>
      <c r="AA112">
        <f>(Z112+Z113)/2*(Y113-Y112)</f>
        <v>15143923544462.539</v>
      </c>
    </row>
    <row r="113" spans="1:27" x14ac:dyDescent="0.2">
      <c r="A113">
        <v>590</v>
      </c>
      <c r="B113" s="13">
        <f>Messdaten!Q113-Messdaten!C113</f>
        <v>11308.021860000001</v>
      </c>
      <c r="C113">
        <f t="shared" si="10"/>
        <v>0.10013074653750403</v>
      </c>
      <c r="D113">
        <f t="shared" si="11"/>
        <v>1.8957657015779492E-3</v>
      </c>
      <c r="E113">
        <v>510</v>
      </c>
      <c r="F113" s="13">
        <f>Messdaten!T113-Messdaten!I113</f>
        <v>66761.637350000005</v>
      </c>
      <c r="G113">
        <f t="shared" si="12"/>
        <v>0.25470891761979048</v>
      </c>
      <c r="H113">
        <f t="shared" si="13"/>
        <v>18562.103907920879</v>
      </c>
      <c r="I113">
        <v>730</v>
      </c>
      <c r="J113" s="13">
        <f>Messdaten!W113-Messdaten!F113</f>
        <v>21154.111550000001</v>
      </c>
      <c r="K113">
        <f t="shared" si="14"/>
        <v>0.14751634643080938</v>
      </c>
      <c r="L113">
        <f t="shared" si="15"/>
        <v>3.2865075303080428E-3</v>
      </c>
      <c r="M113">
        <v>510</v>
      </c>
      <c r="N113" s="13">
        <f>Messdaten!Z113-Messdaten!L113</f>
        <v>8073.0527199999997</v>
      </c>
      <c r="O113">
        <f t="shared" si="16"/>
        <v>1.2165925484105987E-2</v>
      </c>
      <c r="P113">
        <f t="shared" si="17"/>
        <v>2934.6545576403773</v>
      </c>
      <c r="Q113">
        <v>590</v>
      </c>
      <c r="R113">
        <f>Messdaten!AE113-Messdaten!C113</f>
        <v>8560.1618600000002</v>
      </c>
      <c r="S113">
        <f t="shared" si="18"/>
        <v>8.4346598251417285E-2</v>
      </c>
      <c r="U113">
        <v>590</v>
      </c>
      <c r="V113">
        <f>Messdaten!AH113-Messdaten!C113</f>
        <v>8265.503920000001</v>
      </c>
      <c r="W113">
        <f t="shared" si="19"/>
        <v>8.7472385709271211E-2</v>
      </c>
      <c r="Y113" s="14">
        <f>A113</f>
        <v>590</v>
      </c>
      <c r="Z113">
        <f>D113*P193*Y113^4</f>
        <v>15038389903796.891</v>
      </c>
      <c r="AA113">
        <f>(Z113+Z114)/2*(Y114-Y113)</f>
        <v>15236468797156.223</v>
      </c>
    </row>
    <row r="114" spans="1:27" x14ac:dyDescent="0.2">
      <c r="A114">
        <v>591</v>
      </c>
      <c r="B114" s="13">
        <f>Messdaten!Q114-Messdaten!C114</f>
        <v>11293.608970000001</v>
      </c>
      <c r="C114">
        <f t="shared" si="10"/>
        <v>0.10001143004888052</v>
      </c>
      <c r="D114">
        <f t="shared" si="11"/>
        <v>1.8933494113672566E-3</v>
      </c>
      <c r="I114">
        <v>731</v>
      </c>
      <c r="J114" s="13">
        <f>Messdaten!W114-Messdaten!F114</f>
        <v>20250.646959999998</v>
      </c>
      <c r="K114">
        <f t="shared" si="14"/>
        <v>0.14085148301564135</v>
      </c>
      <c r="L114">
        <f t="shared" si="15"/>
        <v>3.1461450683165026E-3</v>
      </c>
      <c r="M114">
        <v>511</v>
      </c>
      <c r="N114" s="13">
        <f>Messdaten!Z114-Messdaten!L114</f>
        <v>8101.7175700000007</v>
      </c>
      <c r="O114">
        <f t="shared" si="16"/>
        <v>1.2207587573008291E-2</v>
      </c>
      <c r="P114">
        <f t="shared" si="17"/>
        <v>2945.0745853070102</v>
      </c>
      <c r="Q114">
        <v>591</v>
      </c>
      <c r="R114">
        <f>Messdaten!AE114-Messdaten!C114</f>
        <v>8324.7572300000011</v>
      </c>
      <c r="S114">
        <f t="shared" si="18"/>
        <v>8.206533535818368E-2</v>
      </c>
      <c r="U114">
        <v>591</v>
      </c>
      <c r="V114">
        <f>Messdaten!AH114-Messdaten!C114</f>
        <v>8100.2854600000001</v>
      </c>
      <c r="W114">
        <f t="shared" si="19"/>
        <v>8.5823312975482763E-2</v>
      </c>
      <c r="Y114" s="14">
        <f>A114</f>
        <v>591</v>
      </c>
      <c r="Z114">
        <f>D114*P194*Y114^4</f>
        <v>15434547690515.555</v>
      </c>
      <c r="AA114">
        <f>(Z114+Z115)/2*(Y115-Y114)</f>
        <v>15274805290583.926</v>
      </c>
    </row>
    <row r="115" spans="1:27" x14ac:dyDescent="0.2">
      <c r="A115">
        <v>592</v>
      </c>
      <c r="B115" s="13">
        <f>Messdaten!Q115-Messdaten!C115</f>
        <v>10664.99611</v>
      </c>
      <c r="C115">
        <f t="shared" si="10"/>
        <v>9.4807485582587989E-2</v>
      </c>
      <c r="D115">
        <f t="shared" si="11"/>
        <v>1.7879638086232216E-3</v>
      </c>
      <c r="I115">
        <v>732</v>
      </c>
      <c r="J115" s="13">
        <f>Messdaten!W115-Messdaten!F115</f>
        <v>19496.409540000001</v>
      </c>
      <c r="K115">
        <f t="shared" si="14"/>
        <v>0.13528746928167898</v>
      </c>
      <c r="L115">
        <f t="shared" si="15"/>
        <v>3.0289665730338631E-3</v>
      </c>
      <c r="M115">
        <v>512</v>
      </c>
      <c r="N115" s="13">
        <f>Messdaten!Z115-Messdaten!L115</f>
        <v>8710.3906800000004</v>
      </c>
      <c r="O115">
        <f t="shared" si="16"/>
        <v>1.3092245724760702E-2</v>
      </c>
      <c r="P115">
        <f t="shared" si="17"/>
        <v>3166.3347923597198</v>
      </c>
      <c r="Q115">
        <v>592</v>
      </c>
      <c r="R115">
        <f>Messdaten!AE115-Messdaten!C115</f>
        <v>7914.8623099999995</v>
      </c>
      <c r="S115">
        <f t="shared" si="18"/>
        <v>7.8093119216466458E-2</v>
      </c>
      <c r="U115">
        <v>592</v>
      </c>
      <c r="V115">
        <f>Messdaten!AH115-Messdaten!C115</f>
        <v>7670.2784000000001</v>
      </c>
      <c r="W115">
        <f t="shared" si="19"/>
        <v>8.153134149734087E-2</v>
      </c>
      <c r="Y115" s="14">
        <f>A115</f>
        <v>592</v>
      </c>
      <c r="Z115">
        <f>D115*P195*Y115^4</f>
        <v>15115062890652.295</v>
      </c>
      <c r="AA115">
        <f>(Z115+Z116)/2*(Y116-Y115)</f>
        <v>15064846567624.639</v>
      </c>
    </row>
    <row r="116" spans="1:27" x14ac:dyDescent="0.2">
      <c r="A116">
        <v>593</v>
      </c>
      <c r="B116" s="13">
        <f>Messdaten!Q116-Messdaten!C116</f>
        <v>10241.42497</v>
      </c>
      <c r="C116">
        <f t="shared" si="10"/>
        <v>9.1300970157363923E-2</v>
      </c>
      <c r="D116">
        <f t="shared" si="11"/>
        <v>1.7169530120991448E-3</v>
      </c>
      <c r="I116">
        <v>733</v>
      </c>
      <c r="J116" s="13">
        <f>Messdaten!W116-Messdaten!F116</f>
        <v>19458.126120000001</v>
      </c>
      <c r="K116">
        <f t="shared" si="14"/>
        <v>0.13500505227475953</v>
      </c>
      <c r="L116">
        <f t="shared" si="15"/>
        <v>3.0230188522884865E-3</v>
      </c>
      <c r="M116">
        <v>513</v>
      </c>
      <c r="N116" s="13">
        <f>Messdaten!Z116-Messdaten!L116</f>
        <v>8707.1470200000003</v>
      </c>
      <c r="O116">
        <f t="shared" si="16"/>
        <v>1.3087531321884397E-2</v>
      </c>
      <c r="P116">
        <f t="shared" si="17"/>
        <v>3165.1556818134882</v>
      </c>
      <c r="Q116">
        <v>593</v>
      </c>
      <c r="R116">
        <f>Messdaten!AE116-Messdaten!C116</f>
        <v>7733.7654000000002</v>
      </c>
      <c r="S116">
        <f t="shared" si="18"/>
        <v>7.6338142430911027E-2</v>
      </c>
      <c r="U116">
        <v>593</v>
      </c>
      <c r="V116">
        <f>Messdaten!AH116-Messdaten!C116</f>
        <v>7479.8415599999998</v>
      </c>
      <c r="W116">
        <f t="shared" si="19"/>
        <v>7.9630559948155447E-2</v>
      </c>
      <c r="Y116" s="14">
        <f>A116</f>
        <v>593</v>
      </c>
      <c r="Z116">
        <f>D116*P196*Y116^4</f>
        <v>15014630244596.982</v>
      </c>
      <c r="AA116">
        <f>(Z116+Z117)/2*(Y117-Y116)</f>
        <v>14897142093302.758</v>
      </c>
    </row>
    <row r="117" spans="1:27" x14ac:dyDescent="0.2">
      <c r="A117">
        <v>594</v>
      </c>
      <c r="B117" s="13">
        <f>Messdaten!Q117-Messdaten!C117</f>
        <v>9820.2194499999987</v>
      </c>
      <c r="C117">
        <f t="shared" si="10"/>
        <v>8.7814038415344089E-2</v>
      </c>
      <c r="D117">
        <f t="shared" si="11"/>
        <v>1.6463388067131546E-3</v>
      </c>
      <c r="I117">
        <v>734</v>
      </c>
      <c r="J117" s="13">
        <f>Messdaten!W117-Messdaten!F117</f>
        <v>18606.74813</v>
      </c>
      <c r="K117">
        <f t="shared" si="14"/>
        <v>0.12872443200381975</v>
      </c>
      <c r="L117">
        <f t="shared" si="15"/>
        <v>2.8907485761929855E-3</v>
      </c>
      <c r="M117">
        <v>514</v>
      </c>
      <c r="N117" s="13">
        <f>Messdaten!Z117-Messdaten!L117</f>
        <v>9436.9301500000001</v>
      </c>
      <c r="O117">
        <f t="shared" si="16"/>
        <v>1.4148213294455666E-2</v>
      </c>
      <c r="P117">
        <f t="shared" si="17"/>
        <v>3430.4408797210722</v>
      </c>
      <c r="Q117">
        <v>594</v>
      </c>
      <c r="R117">
        <f>Messdaten!AE117-Messdaten!C117</f>
        <v>7263.2173700000003</v>
      </c>
      <c r="S117">
        <f t="shared" si="18"/>
        <v>7.1778148176239051E-2</v>
      </c>
      <c r="U117">
        <v>594</v>
      </c>
      <c r="V117">
        <f>Messdaten!AH117-Messdaten!C117</f>
        <v>7130.4871500000008</v>
      </c>
      <c r="W117">
        <f t="shared" si="19"/>
        <v>7.6143595888813989E-2</v>
      </c>
      <c r="Y117" s="14">
        <f>A117</f>
        <v>594</v>
      </c>
      <c r="Z117">
        <f>D117*P197*Y117^4</f>
        <v>14779653942008.531</v>
      </c>
      <c r="AA117">
        <f>(Z117+Z118)/2*(Y118-Y117)</f>
        <v>14581468418775.475</v>
      </c>
    </row>
    <row r="118" spans="1:27" x14ac:dyDescent="0.2">
      <c r="A118">
        <v>595</v>
      </c>
      <c r="B118" s="13">
        <f>Messdaten!Q118-Messdaten!C118</f>
        <v>9352.2815100000007</v>
      </c>
      <c r="C118">
        <f t="shared" si="10"/>
        <v>8.3940234348670498E-2</v>
      </c>
      <c r="D118">
        <f t="shared" si="11"/>
        <v>1.5678900109731156E-3</v>
      </c>
      <c r="I118">
        <v>735</v>
      </c>
      <c r="J118" s="13">
        <f>Messdaten!W118-Messdaten!F118</f>
        <v>17366.3364</v>
      </c>
      <c r="K118">
        <f t="shared" si="14"/>
        <v>0.11957390762187109</v>
      </c>
      <c r="L118">
        <f t="shared" si="15"/>
        <v>2.6980379307143562E-3</v>
      </c>
      <c r="M118">
        <v>515</v>
      </c>
      <c r="N118" s="13">
        <f>Messdaten!Z118-Messdaten!L118</f>
        <v>9805.13609</v>
      </c>
      <c r="O118">
        <f t="shared" si="16"/>
        <v>1.4683371462268696E-2</v>
      </c>
      <c r="P118">
        <f t="shared" si="17"/>
        <v>3564.2882949986056</v>
      </c>
      <c r="Q118">
        <v>595</v>
      </c>
      <c r="R118">
        <f>Messdaten!AE118-Messdaten!C118</f>
        <v>7141.4302499999994</v>
      </c>
      <c r="S118">
        <f t="shared" si="18"/>
        <v>7.0597931637041034E-2</v>
      </c>
      <c r="U118">
        <v>595</v>
      </c>
      <c r="V118">
        <f>Messdaten!AH118-Messdaten!C118</f>
        <v>6922.39329</v>
      </c>
      <c r="W118">
        <f t="shared" si="19"/>
        <v>7.4066576707090659E-2</v>
      </c>
      <c r="Y118" s="14">
        <f>A118</f>
        <v>595</v>
      </c>
      <c r="Z118">
        <f>D118*P198*Y118^4</f>
        <v>14383282895542.418</v>
      </c>
      <c r="AA118">
        <f>(Z118+Z119)/2*(Y119-Y118)</f>
        <v>14252798499920.535</v>
      </c>
    </row>
    <row r="119" spans="1:27" x14ac:dyDescent="0.2">
      <c r="A119">
        <v>596</v>
      </c>
      <c r="B119" s="13">
        <f>Messdaten!Q119-Messdaten!C119</f>
        <v>9153.8070399999997</v>
      </c>
      <c r="C119">
        <f t="shared" si="10"/>
        <v>8.2297172003657632E-2</v>
      </c>
      <c r="D119">
        <f t="shared" si="11"/>
        <v>1.5346161901826009E-3</v>
      </c>
      <c r="I119">
        <v>736</v>
      </c>
      <c r="J119" s="13">
        <f>Messdaten!W119-Messdaten!F119</f>
        <v>16856.484090000002</v>
      </c>
      <c r="K119">
        <f t="shared" si="14"/>
        <v>0.11581272423331362</v>
      </c>
      <c r="L119">
        <f t="shared" si="15"/>
        <v>2.6188271611105652E-3</v>
      </c>
      <c r="M119">
        <v>516</v>
      </c>
      <c r="N119" s="13">
        <f>Messdaten!Z119-Messdaten!L119</f>
        <v>10673.530580000001</v>
      </c>
      <c r="O119">
        <f t="shared" si="16"/>
        <v>1.5945514067049409E-2</v>
      </c>
      <c r="P119">
        <f t="shared" si="17"/>
        <v>3879.9604374082355</v>
      </c>
      <c r="Q119">
        <v>596</v>
      </c>
      <c r="R119">
        <f>Messdaten!AE119-Messdaten!C119</f>
        <v>7040.6150299999999</v>
      </c>
      <c r="S119">
        <f t="shared" si="18"/>
        <v>6.9620949916421593E-2</v>
      </c>
      <c r="U119">
        <v>596</v>
      </c>
      <c r="V119">
        <f>Messdaten!AH119-Messdaten!C119</f>
        <v>6705.9704099999999</v>
      </c>
      <c r="W119">
        <f t="shared" si="19"/>
        <v>7.1906424201275229E-2</v>
      </c>
      <c r="Y119" s="14">
        <f>A119</f>
        <v>596</v>
      </c>
      <c r="Z119">
        <f>D119*P199*Y119^4</f>
        <v>14122314104298.652</v>
      </c>
      <c r="AA119">
        <f>(Z119+Z120)/2*(Y120-Y119)</f>
        <v>13977716889400.158</v>
      </c>
    </row>
    <row r="120" spans="1:27" x14ac:dyDescent="0.2">
      <c r="A120">
        <v>597</v>
      </c>
      <c r="B120" s="13">
        <f>Messdaten!Q120-Messdaten!C120</f>
        <v>8605.25425</v>
      </c>
      <c r="C120">
        <f t="shared" si="10"/>
        <v>7.775600137601596E-2</v>
      </c>
      <c r="D120">
        <f t="shared" si="11"/>
        <v>1.4426524870997973E-3</v>
      </c>
      <c r="I120">
        <v>737</v>
      </c>
      <c r="J120" s="13">
        <f>Messdaten!W120-Messdaten!F120</f>
        <v>16483.639500000001</v>
      </c>
      <c r="K120">
        <f t="shared" si="14"/>
        <v>0.11306224757386389</v>
      </c>
      <c r="L120">
        <f t="shared" si="15"/>
        <v>2.5609019417141676E-3</v>
      </c>
      <c r="M120">
        <v>517</v>
      </c>
      <c r="N120" s="13">
        <f>Messdaten!Z120-Messdaten!L120</f>
        <v>10526.683500000001</v>
      </c>
      <c r="O120">
        <f t="shared" si="16"/>
        <v>1.5732083468179947E-2</v>
      </c>
      <c r="P120">
        <f t="shared" si="17"/>
        <v>3826.5797067794656</v>
      </c>
      <c r="Q120">
        <v>597</v>
      </c>
      <c r="R120">
        <f>Messdaten!AE120-Messdaten!C120</f>
        <v>6537.4637999999995</v>
      </c>
      <c r="S120">
        <f t="shared" si="18"/>
        <v>6.474500405807608E-2</v>
      </c>
      <c r="U120">
        <v>597</v>
      </c>
      <c r="V120">
        <f>Messdaten!AH120-Messdaten!C120</f>
        <v>6378.7886699999999</v>
      </c>
      <c r="W120">
        <f t="shared" si="19"/>
        <v>6.8640769222845732E-2</v>
      </c>
      <c r="Y120" s="14">
        <f>A120</f>
        <v>597</v>
      </c>
      <c r="Z120">
        <f>D120*P200*Y120^4</f>
        <v>13833119674501.664</v>
      </c>
      <c r="AA120">
        <f>(Z120+Z121)/2*(Y121-Y120)</f>
        <v>13826972989357.984</v>
      </c>
    </row>
    <row r="121" spans="1:27" x14ac:dyDescent="0.2">
      <c r="A121">
        <v>598</v>
      </c>
      <c r="B121" s="13">
        <f>Messdaten!Q121-Messdaten!C121</f>
        <v>8543.8186499999993</v>
      </c>
      <c r="C121">
        <f t="shared" si="10"/>
        <v>7.7247409409486087E-2</v>
      </c>
      <c r="D121">
        <f t="shared" si="11"/>
        <v>1.4323529400368539E-3</v>
      </c>
      <c r="I121">
        <v>738</v>
      </c>
      <c r="J121" s="13">
        <f>Messdaten!W121-Messdaten!F121</f>
        <v>16445.354889999999</v>
      </c>
      <c r="K121">
        <f t="shared" si="14"/>
        <v>0.11277982178830766</v>
      </c>
      <c r="L121">
        <f t="shared" si="15"/>
        <v>2.554954036090123E-3</v>
      </c>
      <c r="M121">
        <v>518</v>
      </c>
      <c r="N121" s="13">
        <f>Messdaten!Z121-Messdaten!L121</f>
        <v>10820.2932</v>
      </c>
      <c r="O121">
        <f t="shared" si="16"/>
        <v>1.6158821909999038E-2</v>
      </c>
      <c r="P121">
        <f t="shared" si="17"/>
        <v>3933.310465781919</v>
      </c>
      <c r="Q121">
        <v>598</v>
      </c>
      <c r="R121">
        <f>Messdaten!AE121-Messdaten!C121</f>
        <v>6413.7183000000005</v>
      </c>
      <c r="S121">
        <f t="shared" si="18"/>
        <v>6.354580921915283E-2</v>
      </c>
      <c r="U121">
        <v>598</v>
      </c>
      <c r="V121">
        <f>Messdaten!AH121-Messdaten!C121</f>
        <v>6411.9340000000002</v>
      </c>
      <c r="W121">
        <f t="shared" si="19"/>
        <v>6.8971598235266135E-2</v>
      </c>
      <c r="Y121" s="14">
        <f>A121</f>
        <v>598</v>
      </c>
      <c r="Z121">
        <f>D121*P201*Y121^4</f>
        <v>13820826304214.307</v>
      </c>
      <c r="AA121">
        <f>(Z121+Z122)/2*(Y122-Y121)</f>
        <v>13392488329646.086</v>
      </c>
    </row>
    <row r="122" spans="1:27" x14ac:dyDescent="0.2">
      <c r="A122">
        <v>599</v>
      </c>
      <c r="B122" s="13">
        <f>Messdaten!Q122-Messdaten!C122</f>
        <v>7936.1810600000008</v>
      </c>
      <c r="C122">
        <f t="shared" si="10"/>
        <v>7.2217107811787598E-2</v>
      </c>
      <c r="D122">
        <f t="shared" si="11"/>
        <v>1.3304837964878617E-3</v>
      </c>
      <c r="I122">
        <v>739</v>
      </c>
      <c r="J122" s="13">
        <f>Messdaten!W122-Messdaten!F122</f>
        <v>15761.354160000001</v>
      </c>
      <c r="K122">
        <f t="shared" si="14"/>
        <v>0.1077339445156575</v>
      </c>
      <c r="L122">
        <f t="shared" si="15"/>
        <v>2.4486875287698857E-3</v>
      </c>
      <c r="M122">
        <v>519</v>
      </c>
      <c r="N122" s="13">
        <f>Messdaten!Z122-Messdaten!L122</f>
        <v>11444.678830000001</v>
      </c>
      <c r="O122">
        <f t="shared" si="16"/>
        <v>1.7066316964966334E-2</v>
      </c>
      <c r="P122">
        <f t="shared" si="17"/>
        <v>4160.2823682773933</v>
      </c>
      <c r="Q122">
        <v>599</v>
      </c>
      <c r="R122">
        <f>Messdaten!AE122-Messdaten!C122</f>
        <v>6422.61247</v>
      </c>
      <c r="S122">
        <f t="shared" si="18"/>
        <v>6.3632000981766454E-2</v>
      </c>
      <c r="U122">
        <v>599</v>
      </c>
      <c r="V122">
        <f>Messdaten!AH122-Messdaten!C122</f>
        <v>6078.7814100000005</v>
      </c>
      <c r="W122">
        <f t="shared" si="19"/>
        <v>6.5646347216947745E-2</v>
      </c>
      <c r="Y122" s="14">
        <f>A122</f>
        <v>599</v>
      </c>
      <c r="Z122">
        <f>D122*P202*Y122^4</f>
        <v>12964150355077.867</v>
      </c>
      <c r="AA122">
        <f>(Z122+Z123)/2*(Y123-Y122)</f>
        <v>12950005256530.855</v>
      </c>
    </row>
    <row r="123" spans="1:27" x14ac:dyDescent="0.2">
      <c r="A123">
        <v>600</v>
      </c>
      <c r="B123" s="13">
        <f>Messdaten!Q123-Messdaten!C123</f>
        <v>7727.1988899999997</v>
      </c>
      <c r="C123">
        <f t="shared" si="10"/>
        <v>7.0487057925240085E-2</v>
      </c>
      <c r="D123">
        <f t="shared" si="11"/>
        <v>1.2954483822454513E-3</v>
      </c>
      <c r="I123">
        <v>740</v>
      </c>
      <c r="J123" s="13">
        <f>Messdaten!W123-Messdaten!F123</f>
        <v>15747.803320000001</v>
      </c>
      <c r="K123">
        <f t="shared" si="14"/>
        <v>0.10763397989196284</v>
      </c>
      <c r="L123">
        <f t="shared" si="15"/>
        <v>2.4465822672184025E-3</v>
      </c>
      <c r="M123">
        <v>520</v>
      </c>
      <c r="N123" s="13">
        <f>Messdaten!Z123-Messdaten!L123</f>
        <v>11937.418800000001</v>
      </c>
      <c r="O123">
        <f t="shared" si="16"/>
        <v>1.7782475480913815E-2</v>
      </c>
      <c r="P123">
        <f t="shared" si="17"/>
        <v>4339.3994444126374</v>
      </c>
      <c r="Q123">
        <v>600</v>
      </c>
      <c r="R123">
        <f>Messdaten!AE123-Messdaten!C123</f>
        <v>6096.6556399999999</v>
      </c>
      <c r="S123">
        <f t="shared" si="18"/>
        <v>6.0473213403650174E-2</v>
      </c>
      <c r="U123">
        <v>600</v>
      </c>
      <c r="V123">
        <f>Messdaten!AH123-Messdaten!C123</f>
        <v>5819.6975400000001</v>
      </c>
      <c r="W123">
        <f t="shared" si="19"/>
        <v>6.3060388324815544E-2</v>
      </c>
      <c r="Y123" s="14">
        <f>A123</f>
        <v>600</v>
      </c>
      <c r="Z123">
        <f>D123*P203*Y123^4</f>
        <v>12935860157983.844</v>
      </c>
      <c r="AA123">
        <f>(Z123+Z124)/2*(Y124-Y123)</f>
        <v>12807560320189.063</v>
      </c>
    </row>
    <row r="124" spans="1:27" x14ac:dyDescent="0.2">
      <c r="A124">
        <v>601</v>
      </c>
      <c r="B124" s="13">
        <f>Messdaten!Q124-Messdaten!C124</f>
        <v>7619.40517</v>
      </c>
      <c r="C124">
        <f t="shared" si="10"/>
        <v>6.9594692260472935E-2</v>
      </c>
      <c r="D124">
        <f t="shared" si="11"/>
        <v>1.2773769954236454E-3</v>
      </c>
      <c r="I124">
        <v>741</v>
      </c>
      <c r="J124" s="13">
        <f>Messdaten!W124-Messdaten!F124</f>
        <v>15745.90727</v>
      </c>
      <c r="K124">
        <f t="shared" si="14"/>
        <v>0.10761999272033686</v>
      </c>
      <c r="L124">
        <f t="shared" si="15"/>
        <v>2.4462876964637709E-3</v>
      </c>
      <c r="M124">
        <v>521</v>
      </c>
      <c r="N124" s="13">
        <f>Messdaten!Z124-Messdaten!L124</f>
        <v>11845.009480000001</v>
      </c>
      <c r="O124">
        <f t="shared" si="16"/>
        <v>1.7648165854132543E-2</v>
      </c>
      <c r="P124">
        <f t="shared" si="17"/>
        <v>4305.8075131429941</v>
      </c>
      <c r="Q124">
        <v>601</v>
      </c>
      <c r="R124">
        <f>Messdaten!AE124-Messdaten!C124</f>
        <v>5844.2334100000007</v>
      </c>
      <c r="S124">
        <f t="shared" si="18"/>
        <v>5.8027036084511291E-2</v>
      </c>
      <c r="U124">
        <v>601</v>
      </c>
      <c r="V124">
        <f>Messdaten!AH124-Messdaten!C124</f>
        <v>5668.8895700000003</v>
      </c>
      <c r="W124">
        <f t="shared" si="19"/>
        <v>6.1555149071496139E-2</v>
      </c>
      <c r="Y124" s="14">
        <f>A124</f>
        <v>601</v>
      </c>
      <c r="Z124">
        <f>D124*P204*Y124^4</f>
        <v>12679260482394.283</v>
      </c>
      <c r="AA124">
        <f>(Z124+Z125)/2*(Y125-Y124)</f>
        <v>12481229871868.143</v>
      </c>
    </row>
    <row r="125" spans="1:27" x14ac:dyDescent="0.2">
      <c r="A125">
        <v>602</v>
      </c>
      <c r="B125" s="13">
        <f>Messdaten!Q125-Messdaten!C125</f>
        <v>7314.6563699999997</v>
      </c>
      <c r="C125">
        <f t="shared" si="10"/>
        <v>6.7071842455317346E-2</v>
      </c>
      <c r="D125">
        <f t="shared" si="11"/>
        <v>1.226286510298156E-3</v>
      </c>
      <c r="I125">
        <v>742</v>
      </c>
      <c r="J125" s="13">
        <f>Messdaten!W125-Messdaten!F125</f>
        <v>14231.052389999999</v>
      </c>
      <c r="K125">
        <f t="shared" si="14"/>
        <v>9.6444899661071823E-2</v>
      </c>
      <c r="L125">
        <f t="shared" si="15"/>
        <v>2.2109395014485145E-3</v>
      </c>
      <c r="M125">
        <v>522</v>
      </c>
      <c r="N125" s="13">
        <f>Messdaten!Z125-Messdaten!L125</f>
        <v>13091.024890000001</v>
      </c>
      <c r="O125">
        <f t="shared" si="16"/>
        <v>1.9459150554385889E-2</v>
      </c>
      <c r="P125">
        <f t="shared" si="17"/>
        <v>4758.7495325587479</v>
      </c>
      <c r="Q125">
        <v>602</v>
      </c>
      <c r="R125">
        <f>Messdaten!AE125-Messdaten!C125</f>
        <v>5496.0679099999998</v>
      </c>
      <c r="S125">
        <f t="shared" si="18"/>
        <v>5.465302837763597E-2</v>
      </c>
      <c r="U125">
        <v>602</v>
      </c>
      <c r="V125">
        <f>Messdaten!AH125-Messdaten!C125</f>
        <v>5330.3381299999992</v>
      </c>
      <c r="W125">
        <f t="shared" si="19"/>
        <v>5.8176011239750143E-2</v>
      </c>
      <c r="Y125" s="14">
        <f>A125</f>
        <v>602</v>
      </c>
      <c r="Z125">
        <f>D125*P205*Y125^4</f>
        <v>12283199261342.002</v>
      </c>
      <c r="AA125">
        <f>(Z125+Z126)/2*(Y126-Y125)</f>
        <v>12327151715175.789</v>
      </c>
    </row>
    <row r="126" spans="1:27" x14ac:dyDescent="0.2">
      <c r="A126">
        <v>603</v>
      </c>
      <c r="B126" s="13">
        <f>Messdaten!Q126-Messdaten!C126</f>
        <v>7279.4303</v>
      </c>
      <c r="C126">
        <f t="shared" si="10"/>
        <v>6.678022495317823E-2</v>
      </c>
      <c r="D126">
        <f t="shared" si="11"/>
        <v>1.2203809349345632E-3</v>
      </c>
      <c r="I126">
        <v>743</v>
      </c>
      <c r="J126" s="13">
        <f>Messdaten!W126-Messdaten!F126</f>
        <v>14139.422640000001</v>
      </c>
      <c r="K126">
        <f t="shared" si="14"/>
        <v>9.5768946474554598E-2</v>
      </c>
      <c r="L126">
        <f t="shared" si="15"/>
        <v>2.1967038828708467E-3</v>
      </c>
      <c r="M126">
        <v>523</v>
      </c>
      <c r="N126" s="13">
        <f>Messdaten!Z126-Messdaten!L126</f>
        <v>13809.966829999999</v>
      </c>
      <c r="O126">
        <f t="shared" si="16"/>
        <v>2.0504075716034135E-2</v>
      </c>
      <c r="P126">
        <f t="shared" si="17"/>
        <v>5020.0938237551773</v>
      </c>
      <c r="Q126">
        <v>603</v>
      </c>
      <c r="R126">
        <f>Messdaten!AE126-Messdaten!C126</f>
        <v>5608.8505600000008</v>
      </c>
      <c r="S126">
        <f t="shared" si="18"/>
        <v>5.5745984257244446E-2</v>
      </c>
      <c r="U126">
        <v>603</v>
      </c>
      <c r="V126">
        <f>Messdaten!AH126-Messdaten!C126</f>
        <v>5402.6124900000004</v>
      </c>
      <c r="W126">
        <f t="shared" si="19"/>
        <v>5.8897393562451925E-2</v>
      </c>
      <c r="Y126" s="14">
        <f>A126</f>
        <v>603</v>
      </c>
      <c r="Z126">
        <f>D126*P206*Y126^4</f>
        <v>12371104169009.574</v>
      </c>
      <c r="AA126">
        <f>(Z126+Z127)/2*(Y127-Y126)</f>
        <v>12042545442730.117</v>
      </c>
    </row>
    <row r="127" spans="1:27" x14ac:dyDescent="0.2">
      <c r="A127">
        <v>604</v>
      </c>
      <c r="B127" s="13">
        <f>Messdaten!Q127-Messdaten!C127</f>
        <v>6835.72649</v>
      </c>
      <c r="C127">
        <f t="shared" si="10"/>
        <v>6.3107042087141393E-2</v>
      </c>
      <c r="D127">
        <f t="shared" si="11"/>
        <v>1.1459949393049565E-3</v>
      </c>
      <c r="I127">
        <v>744</v>
      </c>
      <c r="J127" s="13">
        <f>Messdaten!W127-Messdaten!F127</f>
        <v>12834.61119</v>
      </c>
      <c r="K127">
        <f t="shared" si="14"/>
        <v>8.614334499215745E-2</v>
      </c>
      <c r="L127">
        <f t="shared" si="15"/>
        <v>1.9939880824023956E-3</v>
      </c>
      <c r="M127">
        <v>524</v>
      </c>
      <c r="N127" s="13">
        <f>Messdaten!Z127-Messdaten!L127</f>
        <v>13973.672480000001</v>
      </c>
      <c r="O127">
        <f t="shared" si="16"/>
        <v>2.074200891101367E-2</v>
      </c>
      <c r="P127">
        <f t="shared" si="17"/>
        <v>5079.6028531826469</v>
      </c>
      <c r="Q127">
        <v>604</v>
      </c>
      <c r="R127">
        <f>Messdaten!AE127-Messdaten!C127</f>
        <v>5189.375</v>
      </c>
      <c r="S127">
        <f t="shared" si="18"/>
        <v>5.1680923898633845E-2</v>
      </c>
      <c r="U127">
        <v>604</v>
      </c>
      <c r="V127">
        <f>Messdaten!AH127-Messdaten!C127</f>
        <v>4934.92112</v>
      </c>
      <c r="W127">
        <f t="shared" si="19"/>
        <v>5.4229288762932801E-2</v>
      </c>
      <c r="Y127" s="14">
        <f>A127</f>
        <v>604</v>
      </c>
      <c r="Z127">
        <f>D127*P207*Y127^4</f>
        <v>11713986716450.662</v>
      </c>
      <c r="AA127">
        <f>(Z127+Z128)/2*(Y128-Y127)</f>
        <v>11465487161150.379</v>
      </c>
    </row>
    <row r="128" spans="1:27" x14ac:dyDescent="0.2">
      <c r="A128">
        <v>605</v>
      </c>
      <c r="B128" s="13">
        <f>Messdaten!Q128-Messdaten!C128</f>
        <v>6492.7848199999999</v>
      </c>
      <c r="C128">
        <f t="shared" si="10"/>
        <v>6.026801425392523E-2</v>
      </c>
      <c r="D128">
        <f t="shared" si="11"/>
        <v>1.0885015011354035E-3</v>
      </c>
      <c r="I128">
        <v>745</v>
      </c>
      <c r="J128" s="13">
        <f>Messdaten!W128-Messdaten!F128</f>
        <v>12601.02727</v>
      </c>
      <c r="K128">
        <f t="shared" si="14"/>
        <v>8.4420195086769872E-2</v>
      </c>
      <c r="L128">
        <f t="shared" si="15"/>
        <v>1.9576984320323295E-3</v>
      </c>
      <c r="M128">
        <v>525</v>
      </c>
      <c r="N128" s="13">
        <f>Messdaten!Z128-Messdaten!L128</f>
        <v>15357.230509999999</v>
      </c>
      <c r="O128">
        <f t="shared" si="16"/>
        <v>2.2752900914542469E-2</v>
      </c>
      <c r="P128">
        <f t="shared" si="17"/>
        <v>5582.5433168861264</v>
      </c>
      <c r="Q128">
        <v>605</v>
      </c>
      <c r="R128">
        <f>Messdaten!AE128-Messdaten!C128</f>
        <v>5191.2709599999998</v>
      </c>
      <c r="S128">
        <f t="shared" si="18"/>
        <v>5.1699297297640716E-2</v>
      </c>
      <c r="U128">
        <v>605</v>
      </c>
      <c r="V128">
        <f>Messdaten!AH128-Messdaten!C128</f>
        <v>4786.3624099999997</v>
      </c>
      <c r="W128">
        <f t="shared" si="19"/>
        <v>5.2746499745120974E-2</v>
      </c>
      <c r="Y128" s="14">
        <f>A128</f>
        <v>605</v>
      </c>
      <c r="Z128">
        <f>D128*P208*Y128^4</f>
        <v>11216987605850.096</v>
      </c>
      <c r="AA128">
        <f>(Z128+Z129)/2*(Y129-Y128)</f>
        <v>11083086323682.918</v>
      </c>
    </row>
    <row r="129" spans="1:27" x14ac:dyDescent="0.2">
      <c r="A129">
        <v>606</v>
      </c>
      <c r="B129" s="13">
        <f>Messdaten!Q129-Messdaten!C129</f>
        <v>6255.0263700000005</v>
      </c>
      <c r="C129">
        <f t="shared" si="10"/>
        <v>5.8299741173747095E-2</v>
      </c>
      <c r="D129">
        <f t="shared" si="11"/>
        <v>1.0486418050408351E-3</v>
      </c>
      <c r="I129">
        <v>746</v>
      </c>
      <c r="J129" s="13">
        <f>Messdaten!W129-Messdaten!F129</f>
        <v>11024.56854</v>
      </c>
      <c r="K129">
        <f t="shared" si="14"/>
        <v>7.2790650075936394E-2</v>
      </c>
      <c r="L129">
        <f t="shared" si="15"/>
        <v>1.712779449019552E-3</v>
      </c>
      <c r="M129">
        <v>526</v>
      </c>
      <c r="N129" s="13">
        <f>Messdaten!Z129-Messdaten!L129</f>
        <v>15733.527410000001</v>
      </c>
      <c r="O129">
        <f t="shared" si="16"/>
        <v>2.329981865182211E-2</v>
      </c>
      <c r="P129">
        <f t="shared" si="17"/>
        <v>5719.3318962391604</v>
      </c>
      <c r="Q129">
        <v>606</v>
      </c>
      <c r="R129">
        <f>Messdaten!AE129-Messdaten!C129</f>
        <v>4885.1176000000005</v>
      </c>
      <c r="S129">
        <f t="shared" si="18"/>
        <v>4.8732421498270111E-2</v>
      </c>
      <c r="U129">
        <v>606</v>
      </c>
      <c r="V129">
        <f>Messdaten!AH129-Messdaten!C129</f>
        <v>4932.7407800000001</v>
      </c>
      <c r="W129">
        <f t="shared" si="19"/>
        <v>5.4207526429326809E-2</v>
      </c>
      <c r="Y129" s="14">
        <f>A129</f>
        <v>606</v>
      </c>
      <c r="Z129">
        <f>D129*P209*Y129^4</f>
        <v>10949185041515.74</v>
      </c>
      <c r="AA129">
        <f>(Z129+Z130)/2*(Y130-Y129)</f>
        <v>10849698946008.744</v>
      </c>
    </row>
    <row r="130" spans="1:27" x14ac:dyDescent="0.2">
      <c r="A130">
        <v>607</v>
      </c>
      <c r="B130" s="13">
        <f>Messdaten!Q130-Messdaten!C130</f>
        <v>6157.8182999999999</v>
      </c>
      <c r="C130">
        <f t="shared" si="10"/>
        <v>5.7495008356229685E-2</v>
      </c>
      <c r="D130">
        <f t="shared" si="11"/>
        <v>1.0323450798218597E-3</v>
      </c>
      <c r="I130">
        <v>747</v>
      </c>
      <c r="J130" s="13">
        <f>Messdaten!W130-Messdaten!F130</f>
        <v>13102.10139</v>
      </c>
      <c r="K130">
        <f t="shared" si="14"/>
        <v>8.8116621717807514E-2</v>
      </c>
      <c r="L130">
        <f t="shared" si="15"/>
        <v>2.0355454200625348E-3</v>
      </c>
      <c r="M130">
        <v>527</v>
      </c>
      <c r="N130" s="13">
        <f>Messdaten!Z130-Messdaten!L130</f>
        <v>15430.65862</v>
      </c>
      <c r="O130">
        <f t="shared" si="16"/>
        <v>2.2859622856110207E-2</v>
      </c>
      <c r="P130">
        <f t="shared" si="17"/>
        <v>5609.2353434520601</v>
      </c>
      <c r="Q130">
        <v>607</v>
      </c>
      <c r="R130">
        <f>Messdaten!AE130-Messdaten!C130</f>
        <v>4694.1616999999997</v>
      </c>
      <c r="S130">
        <f t="shared" si="18"/>
        <v>4.6881903057260546E-2</v>
      </c>
      <c r="U130">
        <v>607</v>
      </c>
      <c r="V130">
        <f>Messdaten!AH130-Messdaten!C130</f>
        <v>4568.3179899999996</v>
      </c>
      <c r="W130">
        <f t="shared" si="19"/>
        <v>5.0570162380780971E-2</v>
      </c>
      <c r="Y130" s="14">
        <f>A130</f>
        <v>607</v>
      </c>
      <c r="Z130">
        <f>D130*P210*Y130^4</f>
        <v>10750212850501.748</v>
      </c>
      <c r="AA130">
        <f>(Z130+Z131)/2*(Y131-Y130)</f>
        <v>10699774684686.246</v>
      </c>
    </row>
    <row r="131" spans="1:27" x14ac:dyDescent="0.2">
      <c r="A131">
        <v>608</v>
      </c>
      <c r="B131" s="13">
        <f>Messdaten!Q131-Messdaten!C131</f>
        <v>5970.0174500000003</v>
      </c>
      <c r="C131">
        <f t="shared" ref="C131:C194" si="20">(B131-MIN(B:B))/(MAX(B:B)-MIN(B:B))</f>
        <v>5.5940307114319791E-2</v>
      </c>
      <c r="D131">
        <f t="shared" si="11"/>
        <v>1.000860668616699E-3</v>
      </c>
      <c r="I131">
        <v>748</v>
      </c>
      <c r="J131" s="13">
        <f>Messdaten!W131-Messdaten!F131</f>
        <v>10133.975640000001</v>
      </c>
      <c r="K131">
        <f t="shared" si="14"/>
        <v>6.6220741191053173E-2</v>
      </c>
      <c r="L131">
        <f t="shared" si="15"/>
        <v>1.5744167356826794E-3</v>
      </c>
      <c r="M131">
        <v>528</v>
      </c>
      <c r="N131" s="13">
        <f>Messdaten!Z131-Messdaten!L131</f>
        <v>16240.619269999999</v>
      </c>
      <c r="O131">
        <f t="shared" si="16"/>
        <v>2.4036836503056398E-2</v>
      </c>
      <c r="P131">
        <f t="shared" si="17"/>
        <v>5903.6660619760751</v>
      </c>
      <c r="Q131">
        <v>608</v>
      </c>
      <c r="R131">
        <f>Messdaten!AE131-Messdaten!C131</f>
        <v>4612.2479700000004</v>
      </c>
      <c r="S131">
        <f t="shared" si="18"/>
        <v>4.6088092193407294E-2</v>
      </c>
      <c r="U131">
        <v>608</v>
      </c>
      <c r="V131">
        <f>Messdaten!AH131-Messdaten!C131</f>
        <v>4403.2797500000006</v>
      </c>
      <c r="W131">
        <f t="shared" si="19"/>
        <v>4.8922888452574469E-2</v>
      </c>
      <c r="Y131" s="14">
        <f>A131</f>
        <v>608</v>
      </c>
      <c r="Z131">
        <f>D131*P211*Y131^4</f>
        <v>10649336518870.742</v>
      </c>
      <c r="AA131">
        <f>(Z131+Z132)/2*(Y132-Y131)</f>
        <v>10357506172634.482</v>
      </c>
    </row>
    <row r="132" spans="1:27" x14ac:dyDescent="0.2">
      <c r="A132">
        <v>609</v>
      </c>
      <c r="B132" s="13">
        <f>Messdaten!Q132-Messdaten!C132</f>
        <v>5651.7665099999995</v>
      </c>
      <c r="C132">
        <f t="shared" si="20"/>
        <v>5.3305680425159471E-2</v>
      </c>
      <c r="D132">
        <f t="shared" ref="D132:D195" si="21">B132/SUM(B:B)</f>
        <v>9.4750657857190466E-4</v>
      </c>
      <c r="I132">
        <v>749</v>
      </c>
      <c r="J132" s="13">
        <f>Messdaten!W132-Messdaten!F132</f>
        <v>11408.151609999999</v>
      </c>
      <c r="K132">
        <f t="shared" ref="K132:K163" si="22">(J132-MIN(J:J))/(MAX(J:J)-MIN(J:J))</f>
        <v>7.5620344563377032E-2</v>
      </c>
      <c r="L132">
        <f t="shared" ref="L132:L183" si="23">J132/SUM(J:J)</f>
        <v>1.7723730010850214E-3</v>
      </c>
      <c r="M132">
        <v>529</v>
      </c>
      <c r="N132" s="13">
        <f>Messdaten!Z132-Messdaten!L132</f>
        <v>18856.925329999998</v>
      </c>
      <c r="O132">
        <f t="shared" ref="O132:O195" si="24">(N132-MIN(N:N))/(MAX(N:N)-MIN(N:N))</f>
        <v>2.7839430120931569E-2</v>
      </c>
      <c r="P132">
        <f t="shared" ref="P132:P195" si="25">N132/MAX(N:N)*250000</f>
        <v>6854.725688298091</v>
      </c>
      <c r="Q132">
        <v>609</v>
      </c>
      <c r="R132">
        <f>Messdaten!AE132-Messdaten!C132</f>
        <v>4358.6145099999994</v>
      </c>
      <c r="S132">
        <f t="shared" ref="S132:S195" si="26">(R132-MIN(R:R))/(MAX(R:R)-MIN(R:R))</f>
        <v>4.363017706752189E-2</v>
      </c>
      <c r="U132">
        <v>609</v>
      </c>
      <c r="V132">
        <f>Messdaten!AH132-Messdaten!C132</f>
        <v>4199.0961699999998</v>
      </c>
      <c r="W132">
        <f t="shared" ref="W132:W195" si="27">(V132-MIN(V:V))/(MAX(V:V)-MIN(V:V))</f>
        <v>4.6884898421283107E-2</v>
      </c>
      <c r="Y132" s="14">
        <f>A132</f>
        <v>609</v>
      </c>
      <c r="Z132">
        <f>D132*P212*Y132^4</f>
        <v>10065675826398.223</v>
      </c>
      <c r="AA132">
        <f>(Z132+Z133)/2*(Y133-Y132)</f>
        <v>10104171248027.389</v>
      </c>
    </row>
    <row r="133" spans="1:27" x14ac:dyDescent="0.2">
      <c r="A133">
        <v>610</v>
      </c>
      <c r="B133" s="13">
        <f>Messdaten!Q133-Messdaten!C133</f>
        <v>5512.6255199999996</v>
      </c>
      <c r="C133">
        <f t="shared" si="20"/>
        <v>5.2153807736864545E-2</v>
      </c>
      <c r="D133">
        <f t="shared" si="21"/>
        <v>9.2417988891819363E-4</v>
      </c>
      <c r="I133">
        <v>750</v>
      </c>
      <c r="J133" s="13">
        <f>Messdaten!W133-Messdaten!F133</f>
        <v>10310.097470000001</v>
      </c>
      <c r="K133">
        <f t="shared" si="22"/>
        <v>6.7519992931931505E-2</v>
      </c>
      <c r="L133">
        <f t="shared" si="23"/>
        <v>1.601779062820764E-3</v>
      </c>
      <c r="M133">
        <v>530</v>
      </c>
      <c r="N133" s="13">
        <f>Messdaten!Z133-Messdaten!L133</f>
        <v>18262.664410000001</v>
      </c>
      <c r="O133">
        <f t="shared" si="24"/>
        <v>2.6975718945739545E-2</v>
      </c>
      <c r="P133">
        <f t="shared" si="25"/>
        <v>6638.7044906431902</v>
      </c>
      <c r="Q133">
        <v>610</v>
      </c>
      <c r="R133">
        <f>Messdaten!AE133-Messdaten!C133</f>
        <v>4340.4026899999999</v>
      </c>
      <c r="S133">
        <f t="shared" si="26"/>
        <v>4.3453689675645835E-2</v>
      </c>
      <c r="U133">
        <v>610</v>
      </c>
      <c r="V133">
        <f>Messdaten!AH133-Messdaten!C133</f>
        <v>4096.6556999999993</v>
      </c>
      <c r="W133">
        <f t="shared" si="27"/>
        <v>4.5862423172975668E-2</v>
      </c>
      <c r="Y133" s="14">
        <f>A133</f>
        <v>610</v>
      </c>
      <c r="Z133">
        <f>D133*P213*Y133^4</f>
        <v>10142666669656.555</v>
      </c>
      <c r="AA133">
        <f>(Z133+Z134)/2*(Y134-Y133)</f>
        <v>9971907618533.1953</v>
      </c>
    </row>
    <row r="134" spans="1:27" x14ac:dyDescent="0.2">
      <c r="A134">
        <v>611</v>
      </c>
      <c r="B134" s="13">
        <f>Messdaten!Q134-Messdaten!C134</f>
        <v>5269.4575300000006</v>
      </c>
      <c r="C134">
        <f t="shared" si="20"/>
        <v>5.0140752012964827E-2</v>
      </c>
      <c r="D134">
        <f t="shared" si="21"/>
        <v>8.8341329500185963E-4</v>
      </c>
      <c r="I134">
        <v>751</v>
      </c>
      <c r="J134" s="13">
        <f>Messdaten!W134-Messdaten!F134</f>
        <v>9271.8457099999996</v>
      </c>
      <c r="K134">
        <f t="shared" si="22"/>
        <v>5.986080379762599E-2</v>
      </c>
      <c r="L134">
        <f t="shared" si="23"/>
        <v>1.4404760357694774E-3</v>
      </c>
      <c r="M134">
        <v>531</v>
      </c>
      <c r="N134" s="13">
        <f>Messdaten!Z134-Messdaten!L134</f>
        <v>18944.814200000001</v>
      </c>
      <c r="O134">
        <f t="shared" si="24"/>
        <v>2.7967169631707409E-2</v>
      </c>
      <c r="P134">
        <f t="shared" si="25"/>
        <v>6886.674380057827</v>
      </c>
      <c r="Q134">
        <v>611</v>
      </c>
      <c r="R134">
        <f>Messdaten!AE134-Messdaten!C134</f>
        <v>4181.7235500000006</v>
      </c>
      <c r="S134">
        <f t="shared" si="26"/>
        <v>4.1915959368420262E-2</v>
      </c>
      <c r="U134">
        <v>611</v>
      </c>
      <c r="V134">
        <f>Messdaten!AH134-Messdaten!C134</f>
        <v>3874.4063699999997</v>
      </c>
      <c r="W134">
        <f t="shared" si="27"/>
        <v>4.3644115907517878E-2</v>
      </c>
      <c r="Y134" s="14">
        <f>A134</f>
        <v>611</v>
      </c>
      <c r="Z134">
        <f>D134*P214*Y134^4</f>
        <v>9801148567409.834</v>
      </c>
      <c r="AA134">
        <f>(Z134+Z135)/2*(Y135-Y134)</f>
        <v>9851097401255.5918</v>
      </c>
    </row>
    <row r="135" spans="1:27" x14ac:dyDescent="0.2">
      <c r="A135">
        <v>612</v>
      </c>
      <c r="B135" s="13">
        <f>Messdaten!Q135-Messdaten!C135</f>
        <v>5259.8527199999999</v>
      </c>
      <c r="C135">
        <f t="shared" si="20"/>
        <v>5.0061239007377738E-2</v>
      </c>
      <c r="D135">
        <f t="shared" si="21"/>
        <v>8.8180306912914676E-4</v>
      </c>
      <c r="I135">
        <v>752</v>
      </c>
      <c r="J135" s="13">
        <f>Messdaten!W135-Messdaten!F135</f>
        <v>10093.16164</v>
      </c>
      <c r="K135">
        <f t="shared" si="22"/>
        <v>6.5919656081091446E-2</v>
      </c>
      <c r="L135">
        <f t="shared" si="23"/>
        <v>1.5680758634590954E-3</v>
      </c>
      <c r="M135">
        <v>532</v>
      </c>
      <c r="N135" s="13">
        <f>Messdaten!Z135-Messdaten!L135</f>
        <v>19456.195090000001</v>
      </c>
      <c r="O135">
        <f t="shared" si="24"/>
        <v>2.8710421248308155E-2</v>
      </c>
      <c r="P135">
        <f t="shared" si="25"/>
        <v>7072.5676612711186</v>
      </c>
      <c r="Q135">
        <v>612</v>
      </c>
      <c r="R135">
        <f>Messdaten!AE135-Messdaten!C135</f>
        <v>3999.32116</v>
      </c>
      <c r="S135">
        <f t="shared" si="26"/>
        <v>4.0148331416734996E-2</v>
      </c>
      <c r="U135">
        <v>612</v>
      </c>
      <c r="V135">
        <f>Messdaten!AH135-Messdaten!C135</f>
        <v>3960.9977400000002</v>
      </c>
      <c r="W135">
        <f t="shared" si="27"/>
        <v>4.4508398671371192E-2</v>
      </c>
      <c r="Y135" s="14">
        <f>A135</f>
        <v>612</v>
      </c>
      <c r="Z135">
        <f>D135*P215*Y135^4</f>
        <v>9901046235101.3496</v>
      </c>
      <c r="AA135">
        <f>(Z135+Z136)/2*(Y136-Y135)</f>
        <v>9844664050415.6582</v>
      </c>
    </row>
    <row r="136" spans="1:27" x14ac:dyDescent="0.2">
      <c r="A136">
        <v>613</v>
      </c>
      <c r="B136" s="13">
        <f>Messdaten!Q136-Messdaten!C136</f>
        <v>4961.4837099999995</v>
      </c>
      <c r="C136">
        <f t="shared" si="20"/>
        <v>4.7591204018747883E-2</v>
      </c>
      <c r="D136">
        <f t="shared" si="21"/>
        <v>8.3178214216466989E-4</v>
      </c>
      <c r="I136">
        <v>753</v>
      </c>
      <c r="J136" s="13">
        <f>Messdaten!W136-Messdaten!F136</f>
        <v>8802.6264699999992</v>
      </c>
      <c r="K136">
        <f t="shared" si="22"/>
        <v>5.6399370797391921E-2</v>
      </c>
      <c r="L136">
        <f t="shared" si="23"/>
        <v>1.3675780290637589E-3</v>
      </c>
      <c r="M136">
        <v>533</v>
      </c>
      <c r="N136" s="13">
        <f>Messdaten!Z136-Messdaten!L136</f>
        <v>19989.522209999999</v>
      </c>
      <c r="O136">
        <f t="shared" si="24"/>
        <v>2.9485569971830106E-2</v>
      </c>
      <c r="P136">
        <f t="shared" si="25"/>
        <v>7266.4386686465305</v>
      </c>
      <c r="Q136">
        <v>613</v>
      </c>
      <c r="R136">
        <f>Messdaten!AE136-Messdaten!C136</f>
        <v>3995.4272099999998</v>
      </c>
      <c r="S136">
        <f t="shared" si="26"/>
        <v>4.0110595864791487E-2</v>
      </c>
      <c r="U136">
        <v>613</v>
      </c>
      <c r="V136">
        <f>Messdaten!AH136-Messdaten!C136</f>
        <v>3742.3434999999999</v>
      </c>
      <c r="W136">
        <f t="shared" si="27"/>
        <v>4.2325974592904214E-2</v>
      </c>
      <c r="Y136" s="14">
        <f>A136</f>
        <v>613</v>
      </c>
      <c r="Z136">
        <f>D136*P216*Y136^4</f>
        <v>9788281865729.9668</v>
      </c>
      <c r="AA136">
        <f>(Z136+Z137)/2*(Y137-Y136)</f>
        <v>9674808351637.5195</v>
      </c>
    </row>
    <row r="137" spans="1:27" x14ac:dyDescent="0.2">
      <c r="A137">
        <v>614</v>
      </c>
      <c r="B137" s="13">
        <f>Messdaten!Q137-Messdaten!C137</f>
        <v>4817.3911399999997</v>
      </c>
      <c r="C137">
        <f t="shared" si="20"/>
        <v>4.6398339888851836E-2</v>
      </c>
      <c r="D137">
        <f t="shared" si="21"/>
        <v>8.0762533070461318E-4</v>
      </c>
      <c r="I137">
        <v>754</v>
      </c>
      <c r="J137" s="13">
        <f>Messdaten!W137-Messdaten!F137</f>
        <v>9141.242110000001</v>
      </c>
      <c r="K137">
        <f t="shared" si="22"/>
        <v>5.8897340298155326E-2</v>
      </c>
      <c r="L137">
        <f t="shared" si="23"/>
        <v>1.4201854310862789E-3</v>
      </c>
      <c r="M137">
        <v>534</v>
      </c>
      <c r="N137" s="13">
        <f>Messdaten!Z137-Messdaten!L137</f>
        <v>22193.700369999999</v>
      </c>
      <c r="O137">
        <f t="shared" si="24"/>
        <v>3.2689168332136559E-2</v>
      </c>
      <c r="P137">
        <f t="shared" si="25"/>
        <v>8067.6847037517464</v>
      </c>
      <c r="Q137">
        <v>614</v>
      </c>
      <c r="R137">
        <f>Messdaten!AE137-Messdaten!C137</f>
        <v>3541.25695</v>
      </c>
      <c r="S137">
        <f t="shared" si="26"/>
        <v>3.5709315561391057E-2</v>
      </c>
      <c r="U137">
        <v>614</v>
      </c>
      <c r="V137">
        <f>Messdaten!AH137-Messdaten!C137</f>
        <v>3600.7405100000001</v>
      </c>
      <c r="W137">
        <f t="shared" si="27"/>
        <v>4.0912611765094808E-2</v>
      </c>
      <c r="Y137" s="14">
        <f>A137</f>
        <v>614</v>
      </c>
      <c r="Z137">
        <f>D137*P217*Y137^4</f>
        <v>9561334837545.0723</v>
      </c>
      <c r="AA137">
        <f>(Z137+Z138)/2*(Y138-Y137)</f>
        <v>9508982582335.7813</v>
      </c>
    </row>
    <row r="138" spans="1:27" x14ac:dyDescent="0.2">
      <c r="A138">
        <v>615</v>
      </c>
      <c r="B138" s="13">
        <f>Messdaten!Q138-Messdaten!C138</f>
        <v>4567.1141100000004</v>
      </c>
      <c r="C138">
        <f t="shared" si="20"/>
        <v>4.4326432283734396E-2</v>
      </c>
      <c r="D138">
        <f t="shared" si="21"/>
        <v>7.6566692142304553E-4</v>
      </c>
      <c r="I138">
        <v>755</v>
      </c>
      <c r="J138" s="13">
        <f>Messdaten!W138-Messdaten!F138</f>
        <v>7756.5665900000004</v>
      </c>
      <c r="K138">
        <f t="shared" si="22"/>
        <v>4.8682581117469849E-2</v>
      </c>
      <c r="L138">
        <f t="shared" si="23"/>
        <v>1.2050619307323628E-3</v>
      </c>
      <c r="M138">
        <v>535</v>
      </c>
      <c r="N138" s="13">
        <f>Messdaten!Z138-Messdaten!L138</f>
        <v>22392.747330000002</v>
      </c>
      <c r="O138">
        <f t="shared" si="24"/>
        <v>3.2978467321779024E-2</v>
      </c>
      <c r="P138">
        <f t="shared" si="25"/>
        <v>8140.0407366686823</v>
      </c>
      <c r="Q138">
        <v>615</v>
      </c>
      <c r="R138">
        <f>Messdaten!AE138-Messdaten!C138</f>
        <v>3740.1379699999998</v>
      </c>
      <c r="S138">
        <f t="shared" si="26"/>
        <v>3.7636634880023202E-2</v>
      </c>
      <c r="U138">
        <v>615</v>
      </c>
      <c r="V138">
        <f>Messdaten!AH138-Messdaten!C138</f>
        <v>3544.1307499999998</v>
      </c>
      <c r="W138">
        <f t="shared" si="27"/>
        <v>4.0347580401878448E-2</v>
      </c>
      <c r="Y138" s="14">
        <f>A138</f>
        <v>615</v>
      </c>
      <c r="Z138">
        <f>D138*P218*Y138^4</f>
        <v>9456630327126.4922</v>
      </c>
      <c r="AA138">
        <f>(Z138+Z139)/2*(Y139-Y138)</f>
        <v>9457003011902.8359</v>
      </c>
    </row>
    <row r="139" spans="1:27" x14ac:dyDescent="0.2">
      <c r="A139">
        <v>616</v>
      </c>
      <c r="B139" s="13">
        <f>Messdaten!Q139-Messdaten!C139</f>
        <v>4462.0367800000004</v>
      </c>
      <c r="C139">
        <f t="shared" si="20"/>
        <v>4.3456554136497169E-2</v>
      </c>
      <c r="D139">
        <f t="shared" si="21"/>
        <v>7.4805093158029261E-4</v>
      </c>
      <c r="I139">
        <v>756</v>
      </c>
      <c r="J139" s="13">
        <f>Messdaten!W139-Messdaten!F139</f>
        <v>7460.4586099999997</v>
      </c>
      <c r="K139">
        <f t="shared" si="22"/>
        <v>4.6498190866113891E-2</v>
      </c>
      <c r="L139">
        <f t="shared" si="23"/>
        <v>1.1590585283321184E-3</v>
      </c>
      <c r="M139">
        <v>536</v>
      </c>
      <c r="N139" s="13">
        <f>Messdaten!Z139-Messdaten!L139</f>
        <v>23912.392370000001</v>
      </c>
      <c r="O139">
        <f t="shared" si="24"/>
        <v>3.5187151014748667E-2</v>
      </c>
      <c r="P139">
        <f t="shared" si="25"/>
        <v>8692.4505124135376</v>
      </c>
      <c r="Q139">
        <v>616</v>
      </c>
      <c r="R139">
        <f>Messdaten!AE139-Messdaten!C139</f>
        <v>3699.4951599999999</v>
      </c>
      <c r="S139">
        <f t="shared" si="26"/>
        <v>3.7242772897233212E-2</v>
      </c>
      <c r="U139">
        <v>616</v>
      </c>
      <c r="V139">
        <f>Messdaten!AH139-Messdaten!C139</f>
        <v>3315.3283199999996</v>
      </c>
      <c r="W139">
        <f t="shared" si="27"/>
        <v>3.8063865563127755E-2</v>
      </c>
      <c r="Y139" s="14">
        <f>A139</f>
        <v>616</v>
      </c>
      <c r="Z139">
        <f>D139*P219*Y139^4</f>
        <v>9457375696679.1777</v>
      </c>
      <c r="AA139">
        <f>(Z139+Z140)/2*(Y140-Y139)</f>
        <v>9577152386047.7109</v>
      </c>
    </row>
    <row r="140" spans="1:27" x14ac:dyDescent="0.2">
      <c r="A140">
        <v>617</v>
      </c>
      <c r="B140" s="13">
        <f>Messdaten!Q140-Messdaten!C140</f>
        <v>4349.3337000000001</v>
      </c>
      <c r="C140">
        <f t="shared" si="20"/>
        <v>4.2523546546579069E-2</v>
      </c>
      <c r="D140">
        <f t="shared" si="21"/>
        <v>7.2915650104492431E-4</v>
      </c>
      <c r="I140">
        <v>757</v>
      </c>
      <c r="J140" s="13">
        <f>Messdaten!W140-Messdaten!F140</f>
        <v>7590.8194999999996</v>
      </c>
      <c r="K140">
        <f t="shared" si="22"/>
        <v>4.7459863892535148E-2</v>
      </c>
      <c r="L140">
        <f t="shared" si="23"/>
        <v>1.1793114255351049E-3</v>
      </c>
      <c r="M140">
        <v>537</v>
      </c>
      <c r="N140" s="13">
        <f>Messdaten!Z140-Messdaten!L140</f>
        <v>25877.308369999999</v>
      </c>
      <c r="O140">
        <f t="shared" si="24"/>
        <v>3.804300077770064E-2</v>
      </c>
      <c r="P140">
        <f t="shared" si="25"/>
        <v>9406.7217917890666</v>
      </c>
      <c r="Q140">
        <v>617</v>
      </c>
      <c r="R140">
        <f>Messdaten!AE140-Messdaten!C140</f>
        <v>3690.6864799999998</v>
      </c>
      <c r="S140">
        <f t="shared" si="26"/>
        <v>3.7157409602457031E-2</v>
      </c>
      <c r="U140">
        <v>617</v>
      </c>
      <c r="V140">
        <f>Messdaten!AH140-Messdaten!C140</f>
        <v>3172.7694899999997</v>
      </c>
      <c r="W140">
        <f t="shared" si="27"/>
        <v>3.6640962338428895E-2</v>
      </c>
      <c r="Y140" s="14">
        <f>A140</f>
        <v>617</v>
      </c>
      <c r="Z140">
        <f>D140*P220*Y140^4</f>
        <v>9696929075416.2441</v>
      </c>
      <c r="AA140">
        <f>(Z140+Z141)/2*(Y141-Y140)</f>
        <v>9980284933183.1484</v>
      </c>
    </row>
    <row r="141" spans="1:27" x14ac:dyDescent="0.2">
      <c r="A141">
        <v>618</v>
      </c>
      <c r="B141" s="13">
        <f>Messdaten!Q141-Messdaten!C141</f>
        <v>4462.8565500000004</v>
      </c>
      <c r="C141">
        <f t="shared" si="20"/>
        <v>4.3463340567107468E-2</v>
      </c>
      <c r="D141">
        <f t="shared" si="21"/>
        <v>7.4818836426908853E-4</v>
      </c>
      <c r="I141">
        <v>758</v>
      </c>
      <c r="J141" s="13">
        <f>Messdaten!W141-Messdaten!F141</f>
        <v>7654.7609699999994</v>
      </c>
      <c r="K141">
        <f t="shared" si="22"/>
        <v>4.7931560480129205E-2</v>
      </c>
      <c r="L141">
        <f t="shared" si="23"/>
        <v>1.1892453867018155E-3</v>
      </c>
      <c r="M141">
        <v>538</v>
      </c>
      <c r="N141" s="13">
        <f>Messdaten!Z141-Messdaten!L141</f>
        <v>26836.86967</v>
      </c>
      <c r="O141">
        <f t="shared" si="24"/>
        <v>3.9437647119398143E-2</v>
      </c>
      <c r="P141">
        <f t="shared" si="25"/>
        <v>9755.5341977088356</v>
      </c>
      <c r="Q141">
        <v>618</v>
      </c>
      <c r="R141">
        <f>Messdaten!AE141-Messdaten!C141</f>
        <v>3542.5816500000001</v>
      </c>
      <c r="S141">
        <f t="shared" si="26"/>
        <v>3.572215298499936E-2</v>
      </c>
      <c r="U141">
        <v>618</v>
      </c>
      <c r="V141">
        <f>Messdaten!AH141-Messdaten!C141</f>
        <v>3141.1084299999998</v>
      </c>
      <c r="W141">
        <f t="shared" si="27"/>
        <v>3.6324948069994006E-2</v>
      </c>
      <c r="Y141" s="14">
        <f>A141</f>
        <v>618</v>
      </c>
      <c r="Z141">
        <f>D141*P221*Y141^4</f>
        <v>10263640790950.053</v>
      </c>
      <c r="AA141">
        <f>(Z141+Z142)/2*(Y142-Y141)</f>
        <v>9920285267221.5977</v>
      </c>
    </row>
    <row r="142" spans="1:27" x14ac:dyDescent="0.2">
      <c r="A142">
        <v>619</v>
      </c>
      <c r="B142" s="13">
        <f>Messdaten!Q142-Messdaten!C142</f>
        <v>3920.6273199999996</v>
      </c>
      <c r="C142">
        <f t="shared" si="20"/>
        <v>3.8974519258360207E-2</v>
      </c>
      <c r="D142">
        <f t="shared" si="21"/>
        <v>6.5728479250795092E-4</v>
      </c>
      <c r="I142">
        <v>759</v>
      </c>
      <c r="J142" s="13">
        <f>Messdaten!W142-Messdaten!F142</f>
        <v>7394.3074299999998</v>
      </c>
      <c r="K142">
        <f t="shared" si="22"/>
        <v>4.6010193235291201E-2</v>
      </c>
      <c r="L142">
        <f t="shared" si="23"/>
        <v>1.1487812661225996E-3</v>
      </c>
      <c r="M142">
        <v>539</v>
      </c>
      <c r="N142" s="13">
        <f>Messdaten!Z142-Messdaten!L142</f>
        <v>27284.080859999998</v>
      </c>
      <c r="O142">
        <f t="shared" si="24"/>
        <v>4.0087633159997825E-2</v>
      </c>
      <c r="P142">
        <f t="shared" si="25"/>
        <v>9918.1009989524246</v>
      </c>
      <c r="Q142">
        <v>619</v>
      </c>
      <c r="R142">
        <f>Messdaten!AE142-Messdaten!C142</f>
        <v>3243.0932499999999</v>
      </c>
      <c r="S142">
        <f t="shared" si="26"/>
        <v>3.2819866084890778E-2</v>
      </c>
      <c r="U142">
        <v>619</v>
      </c>
      <c r="V142">
        <f>Messdaten!AH142-Messdaten!C142</f>
        <v>3105.6318099999999</v>
      </c>
      <c r="W142">
        <f t="shared" si="27"/>
        <v>3.5970850067089402E-2</v>
      </c>
      <c r="Y142" s="14">
        <f>A142</f>
        <v>619</v>
      </c>
      <c r="Z142">
        <f>D142*P222*Y142^4</f>
        <v>9576929743493.1426</v>
      </c>
      <c r="AA142">
        <f>(Z142+Z143)/2*(Y143-Y142)</f>
        <v>9634499404223.4141</v>
      </c>
    </row>
    <row r="143" spans="1:27" x14ac:dyDescent="0.2">
      <c r="A143">
        <v>620</v>
      </c>
      <c r="B143" s="13">
        <f>Messdaten!Q143-Messdaten!C143</f>
        <v>3795.4280200000003</v>
      </c>
      <c r="C143">
        <f t="shared" si="20"/>
        <v>3.7938062249799016E-2</v>
      </c>
      <c r="D143">
        <f t="shared" si="21"/>
        <v>6.3629539739180397E-4</v>
      </c>
      <c r="I143">
        <v>760</v>
      </c>
      <c r="J143" s="13">
        <f>Messdaten!W143-Messdaten!F143</f>
        <v>5725.5965799999994</v>
      </c>
      <c r="K143">
        <f t="shared" si="22"/>
        <v>3.3700103810913311E-2</v>
      </c>
      <c r="L143">
        <f t="shared" si="23"/>
        <v>8.8952997298891395E-4</v>
      </c>
      <c r="M143">
        <v>540</v>
      </c>
      <c r="N143" s="13">
        <f>Messdaten!Z143-Messdaten!L143</f>
        <v>28610.67138</v>
      </c>
      <c r="O143">
        <f t="shared" si="24"/>
        <v>4.2015727400197579E-2</v>
      </c>
      <c r="P143">
        <f t="shared" si="25"/>
        <v>10400.333067869289</v>
      </c>
      <c r="Q143">
        <v>620</v>
      </c>
      <c r="R143">
        <f>Messdaten!AE143-Messdaten!C143</f>
        <v>3381.0628500000003</v>
      </c>
      <c r="S143">
        <f t="shared" si="26"/>
        <v>3.415690405595484E-2</v>
      </c>
      <c r="U143">
        <v>620</v>
      </c>
      <c r="V143">
        <f>Messdaten!AH143-Messdaten!C143</f>
        <v>2943.8784599999999</v>
      </c>
      <c r="W143">
        <f t="shared" si="27"/>
        <v>3.4356363168446619E-2</v>
      </c>
      <c r="Y143" s="14">
        <f>A143</f>
        <v>620</v>
      </c>
      <c r="Z143">
        <f>D143*P223*Y143^4</f>
        <v>9692069064953.6836</v>
      </c>
      <c r="AA143">
        <f>(Z143+Z144)/2*(Y144-Y143)</f>
        <v>10004285866264.703</v>
      </c>
    </row>
    <row r="144" spans="1:27" x14ac:dyDescent="0.2">
      <c r="A144">
        <v>621</v>
      </c>
      <c r="B144" s="13">
        <f>Messdaten!Q144-Messdaten!C144</f>
        <v>3912.0273300000003</v>
      </c>
      <c r="C144">
        <f t="shared" si="20"/>
        <v>3.8903324611832192E-2</v>
      </c>
      <c r="D144">
        <f t="shared" si="21"/>
        <v>6.5584302256111501E-4</v>
      </c>
      <c r="I144">
        <v>761</v>
      </c>
      <c r="J144" s="13">
        <f>Messdaten!W144-Messdaten!F144</f>
        <v>6959.1106399999999</v>
      </c>
      <c r="K144">
        <f t="shared" si="22"/>
        <v>4.2799744042069855E-2</v>
      </c>
      <c r="L144">
        <f t="shared" si="23"/>
        <v>1.0811689949042941E-3</v>
      </c>
      <c r="M144">
        <v>541</v>
      </c>
      <c r="N144" s="13">
        <f>Messdaten!Z144-Messdaten!L144</f>
        <v>29608.692780000001</v>
      </c>
      <c r="O144">
        <f t="shared" si="24"/>
        <v>4.3466272450780399E-2</v>
      </c>
      <c r="P144">
        <f t="shared" si="25"/>
        <v>10763.126196034646</v>
      </c>
      <c r="Q144">
        <v>621</v>
      </c>
      <c r="R144">
        <f>Messdaten!AE144-Messdaten!C144</f>
        <v>3326.6233299999999</v>
      </c>
      <c r="S144">
        <f t="shared" si="26"/>
        <v>3.3629340698762375E-2</v>
      </c>
      <c r="U144">
        <v>621</v>
      </c>
      <c r="V144">
        <f>Messdaten!AH144-Messdaten!C144</f>
        <v>2902.7168099999999</v>
      </c>
      <c r="W144">
        <f t="shared" si="27"/>
        <v>3.3945521942274057E-2</v>
      </c>
      <c r="Y144" s="14">
        <f>A144</f>
        <v>621</v>
      </c>
      <c r="Z144">
        <f>D144*P224*Y144^4</f>
        <v>10316502667575.725</v>
      </c>
      <c r="AA144">
        <f>(Z144+Z145)/2*(Y145-Y144)</f>
        <v>10142027361867.23</v>
      </c>
    </row>
    <row r="145" spans="1:27" x14ac:dyDescent="0.2">
      <c r="A145">
        <v>622</v>
      </c>
      <c r="B145" s="13">
        <f>Messdaten!Q145-Messdaten!C145</f>
        <v>3597.8122400000002</v>
      </c>
      <c r="C145">
        <f t="shared" si="20"/>
        <v>3.630210853293888E-2</v>
      </c>
      <c r="D145">
        <f t="shared" si="21"/>
        <v>6.0316553414492004E-4</v>
      </c>
      <c r="I145">
        <v>762</v>
      </c>
      <c r="J145" s="13">
        <f>Messdaten!W145-Messdaten!F145</f>
        <v>5484.0704699999997</v>
      </c>
      <c r="K145">
        <f t="shared" si="22"/>
        <v>3.1918364324757198E-2</v>
      </c>
      <c r="L145">
        <f t="shared" si="23"/>
        <v>8.5200642219337096E-4</v>
      </c>
      <c r="M145">
        <v>542</v>
      </c>
      <c r="N145" s="13">
        <f>Messdaten!Z145-Messdaten!L145</f>
        <v>31160.003570000001</v>
      </c>
      <c r="O145">
        <f t="shared" si="24"/>
        <v>4.5720979803097923E-2</v>
      </c>
      <c r="P145">
        <f t="shared" si="25"/>
        <v>11327.046863728514</v>
      </c>
      <c r="Q145">
        <v>622</v>
      </c>
      <c r="R145">
        <f>Messdaten!AE145-Messdaten!C145</f>
        <v>3258.2033300000003</v>
      </c>
      <c r="S145">
        <f t="shared" si="26"/>
        <v>3.2966295085959246E-2</v>
      </c>
      <c r="U145">
        <v>622</v>
      </c>
      <c r="V145">
        <f>Messdaten!AH145-Messdaten!C145</f>
        <v>2926.02963</v>
      </c>
      <c r="W145">
        <f t="shared" si="27"/>
        <v>3.4178211048622814E-2</v>
      </c>
      <c r="Y145" s="14">
        <f>A145</f>
        <v>622</v>
      </c>
      <c r="Z145">
        <f>D145*P225*Y145^4</f>
        <v>9967552056158.7363</v>
      </c>
      <c r="AA145">
        <f>(Z145+Z146)/2*(Y146-Y145)</f>
        <v>9832736924380.8555</v>
      </c>
    </row>
    <row r="146" spans="1:27" x14ac:dyDescent="0.2">
      <c r="A146">
        <v>623</v>
      </c>
      <c r="B146" s="13">
        <f>Messdaten!Q146-Messdaten!C146</f>
        <v>3338.9568000000004</v>
      </c>
      <c r="C146">
        <f t="shared" si="20"/>
        <v>3.4159184930393244E-2</v>
      </c>
      <c r="D146">
        <f t="shared" si="21"/>
        <v>5.5976897275740358E-4</v>
      </c>
      <c r="I146">
        <v>763</v>
      </c>
      <c r="J146" s="13">
        <f>Messdaten!W146-Messdaten!F146</f>
        <v>6782.7466700000004</v>
      </c>
      <c r="K146">
        <f t="shared" si="22"/>
        <v>4.1498706033035342E-2</v>
      </c>
      <c r="L146">
        <f t="shared" si="23"/>
        <v>1.0537690488413257E-3</v>
      </c>
      <c r="M146">
        <v>543</v>
      </c>
      <c r="N146" s="13">
        <f>Messdaten!Z146-Messdaten!L146</f>
        <v>32291.328960000003</v>
      </c>
      <c r="O146">
        <f t="shared" si="24"/>
        <v>4.7365271643997509E-2</v>
      </c>
      <c r="P146">
        <f t="shared" si="25"/>
        <v>11738.297641728856</v>
      </c>
      <c r="Q146">
        <v>623</v>
      </c>
      <c r="R146">
        <f>Messdaten!AE146-Messdaten!C146</f>
        <v>3191.2572400000004</v>
      </c>
      <c r="S146">
        <f t="shared" si="26"/>
        <v>3.231753286338071E-2</v>
      </c>
      <c r="U146">
        <v>623</v>
      </c>
      <c r="V146">
        <f>Messdaten!AH146-Messdaten!C146</f>
        <v>2820.5391</v>
      </c>
      <c r="W146">
        <f t="shared" si="27"/>
        <v>3.312529264776197E-2</v>
      </c>
      <c r="Y146" s="14">
        <f>A146</f>
        <v>623</v>
      </c>
      <c r="Z146">
        <f>D146*P226*Y146^4</f>
        <v>9697921792602.9766</v>
      </c>
      <c r="AA146">
        <f>(Z146+Z147)/2*(Y147-Y146)</f>
        <v>10065772374817.789</v>
      </c>
    </row>
    <row r="147" spans="1:27" x14ac:dyDescent="0.2">
      <c r="A147">
        <v>624</v>
      </c>
      <c r="B147" s="13">
        <f>Messdaten!Q147-Messdaten!C147</f>
        <v>3416.0935500000001</v>
      </c>
      <c r="C147">
        <f t="shared" si="20"/>
        <v>3.4797758190428504E-2</v>
      </c>
      <c r="D147">
        <f t="shared" si="21"/>
        <v>5.727007840672548E-4</v>
      </c>
      <c r="I147">
        <v>764</v>
      </c>
      <c r="J147" s="13">
        <f>Messdaten!W147-Messdaten!F147</f>
        <v>6175.0364800000007</v>
      </c>
      <c r="K147">
        <f t="shared" si="22"/>
        <v>3.7015624507553753E-2</v>
      </c>
      <c r="L147">
        <f t="shared" si="23"/>
        <v>9.5935505698167074E-4</v>
      </c>
      <c r="M147">
        <v>544</v>
      </c>
      <c r="N147" s="13">
        <f>Messdaten!Z147-Messdaten!L147</f>
        <v>33355.543530000003</v>
      </c>
      <c r="O147">
        <f t="shared" si="24"/>
        <v>4.8912023223945215E-2</v>
      </c>
      <c r="P147">
        <f t="shared" si="25"/>
        <v>12125.152806246819</v>
      </c>
      <c r="Q147">
        <v>624</v>
      </c>
      <c r="R147">
        <f>Messdaten!AE147-Messdaten!C147</f>
        <v>3279.6003500000002</v>
      </c>
      <c r="S147">
        <f t="shared" si="26"/>
        <v>3.3173649664124415E-2</v>
      </c>
      <c r="U147">
        <v>624</v>
      </c>
      <c r="V147">
        <f>Messdaten!AH147-Messdaten!C147</f>
        <v>2746.4637600000001</v>
      </c>
      <c r="W147">
        <f t="shared" si="27"/>
        <v>3.2385934446262532E-2</v>
      </c>
      <c r="Y147" s="14">
        <f>A147</f>
        <v>624</v>
      </c>
      <c r="Z147">
        <f>D147*P227*Y147^4</f>
        <v>10433622957032.602</v>
      </c>
      <c r="AA147">
        <f>(Z147+Z148)/2*(Y148-Y147)</f>
        <v>10432497844736.678</v>
      </c>
    </row>
    <row r="148" spans="1:27" x14ac:dyDescent="0.2">
      <c r="A148">
        <v>625</v>
      </c>
      <c r="B148" s="13">
        <f>Messdaten!Q148-Messdaten!C148</f>
        <v>3237.3598200000001</v>
      </c>
      <c r="C148">
        <f t="shared" si="20"/>
        <v>3.3318118710616844E-2</v>
      </c>
      <c r="D148">
        <f t="shared" si="21"/>
        <v>5.4273645615525565E-4</v>
      </c>
      <c r="I148">
        <v>765</v>
      </c>
      <c r="J148" s="13">
        <f>Messdaten!W148-Messdaten!F148</f>
        <v>7002.5732799999996</v>
      </c>
      <c r="K148">
        <f t="shared" si="22"/>
        <v>4.3120368184364814E-2</v>
      </c>
      <c r="L148">
        <f t="shared" si="23"/>
        <v>1.0879213604342503E-3</v>
      </c>
      <c r="M148">
        <v>545</v>
      </c>
      <c r="N148" s="13">
        <f>Messdaten!Z148-Messdaten!L148</f>
        <v>34649.152909999997</v>
      </c>
      <c r="O148">
        <f t="shared" si="24"/>
        <v>5.0792181989625498E-2</v>
      </c>
      <c r="P148">
        <f t="shared" si="25"/>
        <v>12595.395822673367</v>
      </c>
      <c r="Q148">
        <v>625</v>
      </c>
      <c r="R148">
        <f>Messdaten!AE148-Messdaten!C148</f>
        <v>3201.9761100000001</v>
      </c>
      <c r="S148">
        <f t="shared" si="26"/>
        <v>3.242140745747172E-2</v>
      </c>
      <c r="U148">
        <v>625</v>
      </c>
      <c r="V148">
        <f>Messdaten!AH148-Messdaten!C148</f>
        <v>2543.4976200000001</v>
      </c>
      <c r="W148">
        <f t="shared" si="27"/>
        <v>3.0360095884661813E-2</v>
      </c>
      <c r="Y148" s="14">
        <f>A148</f>
        <v>625</v>
      </c>
      <c r="Z148">
        <f>D148*P228*Y148^4</f>
        <v>10431372732440.754</v>
      </c>
      <c r="AA148">
        <f>(Z148+Z149)/2*(Y149-Y148)</f>
        <v>10647031443929.895</v>
      </c>
    </row>
    <row r="149" spans="1:27" x14ac:dyDescent="0.2">
      <c r="A149">
        <v>626</v>
      </c>
      <c r="B149" s="13">
        <f>Messdaten!Q149-Messdaten!C149</f>
        <v>3186.1863700000004</v>
      </c>
      <c r="C149">
        <f t="shared" si="20"/>
        <v>3.2894481510530614E-2</v>
      </c>
      <c r="D149">
        <f t="shared" si="21"/>
        <v>5.3415733661140526E-4</v>
      </c>
      <c r="I149">
        <v>766</v>
      </c>
      <c r="J149" s="13">
        <f>Messdaten!W149-Messdaten!F149</f>
        <v>4489.3301499999998</v>
      </c>
      <c r="K149">
        <f t="shared" si="22"/>
        <v>2.4580159330623984E-2</v>
      </c>
      <c r="L149">
        <f t="shared" si="23"/>
        <v>6.9746334225102131E-4</v>
      </c>
      <c r="M149">
        <v>546</v>
      </c>
      <c r="N149" s="13">
        <f>Messdaten!Z149-Messdaten!L149</f>
        <v>36460.120450000002</v>
      </c>
      <c r="O149">
        <f t="shared" si="24"/>
        <v>5.342427986038574E-2</v>
      </c>
      <c r="P149">
        <f t="shared" si="25"/>
        <v>13253.704931919441</v>
      </c>
      <c r="Q149">
        <v>626</v>
      </c>
      <c r="R149">
        <f>Messdaten!AE149-Messdaten!C149</f>
        <v>3389.4896699999999</v>
      </c>
      <c r="S149">
        <f t="shared" si="26"/>
        <v>3.423856681583326E-2</v>
      </c>
      <c r="U149">
        <v>626</v>
      </c>
      <c r="V149">
        <f>Messdaten!AH149-Messdaten!C149</f>
        <v>2578.17911</v>
      </c>
      <c r="W149">
        <f t="shared" si="27"/>
        <v>3.0706257563726948E-2</v>
      </c>
      <c r="Y149" s="14">
        <f>A149</f>
        <v>626</v>
      </c>
      <c r="Z149">
        <f>D149*P229*Y149^4</f>
        <v>10862690155419.037</v>
      </c>
      <c r="AA149">
        <f>(Z149+Z150)/2*(Y150-Y149)</f>
        <v>10827392855913.164</v>
      </c>
    </row>
    <row r="150" spans="1:27" x14ac:dyDescent="0.2">
      <c r="A150">
        <v>627</v>
      </c>
      <c r="B150" s="13">
        <f>Messdaten!Q150-Messdaten!C150</f>
        <v>2996.1734500000002</v>
      </c>
      <c r="C150">
        <f t="shared" si="20"/>
        <v>3.1321467742472978E-2</v>
      </c>
      <c r="D150">
        <f t="shared" si="21"/>
        <v>5.0230207659754866E-4</v>
      </c>
      <c r="I150">
        <v>767</v>
      </c>
      <c r="J150" s="13">
        <f>Messdaten!W150-Messdaten!F150</f>
        <v>5309.2137300000004</v>
      </c>
      <c r="K150">
        <f t="shared" si="22"/>
        <v>3.0628445159998852E-2</v>
      </c>
      <c r="L150">
        <f t="shared" si="23"/>
        <v>8.2484063972234516E-4</v>
      </c>
      <c r="M150">
        <v>547</v>
      </c>
      <c r="N150" s="13">
        <f>Messdaten!Z150-Messdaten!L150</f>
        <v>37242.414239999998</v>
      </c>
      <c r="O150">
        <f t="shared" si="24"/>
        <v>5.4561281917842798E-2</v>
      </c>
      <c r="P150">
        <f t="shared" si="25"/>
        <v>13538.0784044907</v>
      </c>
      <c r="Q150">
        <v>627</v>
      </c>
      <c r="R150">
        <f>Messdaten!AE150-Messdaten!C150</f>
        <v>3335.4990700000003</v>
      </c>
      <c r="S150">
        <f t="shared" si="26"/>
        <v>3.3715353859641965E-2</v>
      </c>
      <c r="U150">
        <v>627</v>
      </c>
      <c r="V150">
        <f>Messdaten!AH150-Messdaten!C150</f>
        <v>2613.78818</v>
      </c>
      <c r="W150">
        <f t="shared" si="27"/>
        <v>3.1061677571954629E-2</v>
      </c>
      <c r="Y150" s="14">
        <f>A150</f>
        <v>627</v>
      </c>
      <c r="Z150">
        <f>D150*P230*Y150^4</f>
        <v>10792095556407.293</v>
      </c>
      <c r="AA150">
        <f>(Z150+Z151)/2*(Y151-Y150)</f>
        <v>10718046779171.465</v>
      </c>
    </row>
    <row r="151" spans="1:27" x14ac:dyDescent="0.2">
      <c r="A151">
        <v>628</v>
      </c>
      <c r="B151" s="13">
        <f>Messdaten!Q151-Messdaten!C151</f>
        <v>2817.8617599999998</v>
      </c>
      <c r="C151">
        <f t="shared" si="20"/>
        <v>2.9845322102610043E-2</v>
      </c>
      <c r="D151">
        <f t="shared" si="21"/>
        <v>4.724085027897243E-4</v>
      </c>
      <c r="I151">
        <v>768</v>
      </c>
      <c r="J151" s="13">
        <f>Messdaten!W151-Messdaten!F151</f>
        <v>4870.9757</v>
      </c>
      <c r="K151">
        <f t="shared" si="22"/>
        <v>2.7395560722012963E-2</v>
      </c>
      <c r="L151">
        <f t="shared" si="23"/>
        <v>7.5675588077332831E-4</v>
      </c>
      <c r="M151">
        <v>548</v>
      </c>
      <c r="N151" s="13">
        <f>Messdaten!Z151-Messdaten!L151</f>
        <v>39330.74624</v>
      </c>
      <c r="O151">
        <f t="shared" si="24"/>
        <v>5.7596507060884546E-2</v>
      </c>
      <c r="P151">
        <f t="shared" si="25"/>
        <v>14297.212926984719</v>
      </c>
      <c r="Q151">
        <v>628</v>
      </c>
      <c r="R151">
        <f>Messdaten!AE151-Messdaten!C151</f>
        <v>3503.2325299999998</v>
      </c>
      <c r="S151">
        <f t="shared" si="26"/>
        <v>3.5340827913621635E-2</v>
      </c>
      <c r="U151">
        <v>628</v>
      </c>
      <c r="V151">
        <f>Messdaten!AH151-Messdaten!C151</f>
        <v>2606.0281</v>
      </c>
      <c r="W151">
        <f t="shared" si="27"/>
        <v>3.0984222931958485E-2</v>
      </c>
      <c r="Y151" s="14">
        <f>A151</f>
        <v>628</v>
      </c>
      <c r="Z151">
        <f>D151*P231*Y151^4</f>
        <v>10643998001935.639</v>
      </c>
      <c r="AA151">
        <f>(Z151+Z152)/2*(Y152-Y151)</f>
        <v>10545806770895.436</v>
      </c>
    </row>
    <row r="152" spans="1:27" x14ac:dyDescent="0.2">
      <c r="A152">
        <v>629</v>
      </c>
      <c r="B152" s="13">
        <f>Messdaten!Q152-Messdaten!C152</f>
        <v>2580.7587199999998</v>
      </c>
      <c r="C152">
        <f t="shared" si="20"/>
        <v>2.7882474805866645E-2</v>
      </c>
      <c r="D152">
        <f t="shared" si="21"/>
        <v>4.3265868478116026E-4</v>
      </c>
      <c r="I152">
        <v>769</v>
      </c>
      <c r="J152" s="13">
        <f>Messdaten!W152-Messdaten!F152</f>
        <v>4237.9696300000005</v>
      </c>
      <c r="K152">
        <f t="shared" si="22"/>
        <v>2.2725871346005126E-2</v>
      </c>
      <c r="L152">
        <f t="shared" si="23"/>
        <v>6.5841191530503155E-4</v>
      </c>
      <c r="M152">
        <v>549</v>
      </c>
      <c r="N152" s="13">
        <f>Messdaten!Z152-Messdaten!L152</f>
        <v>40191.786870000004</v>
      </c>
      <c r="O152">
        <f t="shared" si="24"/>
        <v>5.8847961412662193E-2</v>
      </c>
      <c r="P152">
        <f t="shared" si="25"/>
        <v>14610.211850289539</v>
      </c>
      <c r="Q152">
        <v>629</v>
      </c>
      <c r="R152">
        <f>Messdaten!AE152-Messdaten!C152</f>
        <v>3606.7406900000001</v>
      </c>
      <c r="S152">
        <f t="shared" si="26"/>
        <v>3.6343906419574933E-2</v>
      </c>
      <c r="U152">
        <v>629</v>
      </c>
      <c r="V152">
        <f>Messdaten!AH152-Messdaten!C152</f>
        <v>2455.1170400000001</v>
      </c>
      <c r="W152">
        <f t="shared" si="27"/>
        <v>2.9477954720324565E-2</v>
      </c>
      <c r="Y152" s="14">
        <f>A152</f>
        <v>629</v>
      </c>
      <c r="Z152">
        <f>D152*P232*Y152^4</f>
        <v>10447615539855.232</v>
      </c>
      <c r="AA152">
        <f>(Z152+Z153)/2*(Y153-Y152)</f>
        <v>10596508055035.031</v>
      </c>
    </row>
    <row r="153" spans="1:27" x14ac:dyDescent="0.2">
      <c r="A153">
        <v>630</v>
      </c>
      <c r="B153" s="13">
        <f>Messdaten!Q153-Messdaten!C153</f>
        <v>2522.5187299999998</v>
      </c>
      <c r="C153">
        <f t="shared" si="20"/>
        <v>2.740033755898081E-2</v>
      </c>
      <c r="D153">
        <f t="shared" si="21"/>
        <v>4.2289487490626115E-4</v>
      </c>
      <c r="I153">
        <v>770</v>
      </c>
      <c r="J153" s="13">
        <f>Messdaten!W153-Messdaten!F153</f>
        <v>5339.3006100000002</v>
      </c>
      <c r="K153">
        <f t="shared" si="22"/>
        <v>3.0850396244754205E-2</v>
      </c>
      <c r="L153">
        <f t="shared" si="23"/>
        <v>8.295149441690131E-4</v>
      </c>
      <c r="M153">
        <v>550</v>
      </c>
      <c r="N153" s="13">
        <f>Messdaten!Z153-Messdaten!L153</f>
        <v>40921.470629999996</v>
      </c>
      <c r="O153">
        <f t="shared" si="24"/>
        <v>5.9908498958809654E-2</v>
      </c>
      <c r="P153">
        <f t="shared" si="25"/>
        <v>14875.460925972542</v>
      </c>
      <c r="Q153">
        <v>630</v>
      </c>
      <c r="R153">
        <f>Messdaten!AE153-Messdaten!C153</f>
        <v>3798.8676799999998</v>
      </c>
      <c r="S153">
        <f t="shared" si="26"/>
        <v>3.8205773677987255E-2</v>
      </c>
      <c r="U153">
        <v>630</v>
      </c>
      <c r="V153">
        <f>Messdaten!AH153-Messdaten!C153</f>
        <v>2647.2284599999998</v>
      </c>
      <c r="W153">
        <f t="shared" si="27"/>
        <v>3.1395450529033697E-2</v>
      </c>
      <c r="Y153" s="14">
        <f>A153</f>
        <v>630</v>
      </c>
      <c r="Z153">
        <f>D153*P233*Y153^4</f>
        <v>10745400570214.828</v>
      </c>
      <c r="AA153">
        <f>(Z153+Z154)/2*(Y154-Y153)</f>
        <v>11433971101969.492</v>
      </c>
    </row>
    <row r="154" spans="1:27" x14ac:dyDescent="0.2">
      <c r="A154">
        <v>631</v>
      </c>
      <c r="B154" s="13">
        <f>Messdaten!Q154-Messdaten!C154</f>
        <v>2676.43228</v>
      </c>
      <c r="C154">
        <f t="shared" si="20"/>
        <v>2.8674504248491328E-2</v>
      </c>
      <c r="D154">
        <f t="shared" si="21"/>
        <v>4.4869815267761337E-4</v>
      </c>
      <c r="I154">
        <v>771</v>
      </c>
      <c r="J154" s="13">
        <f>Messdaten!W154-Messdaten!F154</f>
        <v>3708.7193199999997</v>
      </c>
      <c r="K154">
        <f t="shared" si="22"/>
        <v>1.8821588801201314E-2</v>
      </c>
      <c r="L154">
        <f t="shared" si="23"/>
        <v>5.761874680564839E-4</v>
      </c>
      <c r="M154">
        <v>551</v>
      </c>
      <c r="N154" s="13">
        <f>Messdaten!Z154-Messdaten!L154</f>
        <v>43827.544129999995</v>
      </c>
      <c r="O154">
        <f t="shared" si="24"/>
        <v>6.4132246597943338E-2</v>
      </c>
      <c r="P154">
        <f t="shared" si="25"/>
        <v>15931.854602243855</v>
      </c>
      <c r="Q154">
        <v>631</v>
      </c>
      <c r="R154">
        <f>Messdaten!AE154-Messdaten!C154</f>
        <v>3987.5726800000002</v>
      </c>
      <c r="S154">
        <f t="shared" si="26"/>
        <v>4.0034479061851841E-2</v>
      </c>
      <c r="U154">
        <v>631</v>
      </c>
      <c r="V154">
        <f>Messdaten!AH154-Messdaten!C154</f>
        <v>2744.0537899999999</v>
      </c>
      <c r="W154">
        <f t="shared" si="27"/>
        <v>3.2361880137704947E-2</v>
      </c>
      <c r="Y154" s="14">
        <f>A154</f>
        <v>631</v>
      </c>
      <c r="Z154">
        <f>D154*P234*Y154^4</f>
        <v>12122541633724.158</v>
      </c>
      <c r="AA154">
        <f>(Z154+Z155)/2*(Y155-Y154)</f>
        <v>12191232274052.881</v>
      </c>
    </row>
    <row r="155" spans="1:27" x14ac:dyDescent="0.2">
      <c r="A155">
        <v>632</v>
      </c>
      <c r="B155" s="13">
        <f>Messdaten!Q155-Messdaten!C155</f>
        <v>2574.0522700000001</v>
      </c>
      <c r="C155">
        <f t="shared" si="20"/>
        <v>2.7826955748611017E-2</v>
      </c>
      <c r="D155">
        <f t="shared" si="21"/>
        <v>4.3153436276916276E-4</v>
      </c>
      <c r="I155">
        <v>772</v>
      </c>
      <c r="J155" s="13">
        <f>Messdaten!W155-Messdaten!F155</f>
        <v>4459.2269300000007</v>
      </c>
      <c r="K155">
        <f t="shared" si="22"/>
        <v>2.435808770559577E-2</v>
      </c>
      <c r="L155">
        <f t="shared" si="23"/>
        <v>6.9278649921827688E-4</v>
      </c>
      <c r="M155">
        <v>552</v>
      </c>
      <c r="N155" s="13">
        <f>Messdaten!Z155-Messdaten!L155</f>
        <v>43448.943650000001</v>
      </c>
      <c r="O155">
        <f t="shared" si="24"/>
        <v>6.3581980789602685E-2</v>
      </c>
      <c r="P155">
        <f t="shared" si="25"/>
        <v>15794.228643056904</v>
      </c>
      <c r="Q155">
        <v>632</v>
      </c>
      <c r="R155">
        <f>Messdaten!AE155-Messdaten!C155</f>
        <v>4216.0281699999996</v>
      </c>
      <c r="S155">
        <f t="shared" si="26"/>
        <v>4.2248399119806962E-2</v>
      </c>
      <c r="U155">
        <v>632</v>
      </c>
      <c r="V155">
        <f>Messdaten!AH155-Messdaten!C155</f>
        <v>2738.2941500000002</v>
      </c>
      <c r="W155">
        <f t="shared" si="27"/>
        <v>3.2304392219705734E-2</v>
      </c>
      <c r="Y155" s="14">
        <f>A155</f>
        <v>632</v>
      </c>
      <c r="Z155">
        <f>D155*P235*Y155^4</f>
        <v>12259922914381.604</v>
      </c>
      <c r="AA155">
        <f>(Z155+Z156)/2*(Y156-Y155)</f>
        <v>12290984572226.43</v>
      </c>
    </row>
    <row r="156" spans="1:27" x14ac:dyDescent="0.2">
      <c r="A156">
        <v>633</v>
      </c>
      <c r="B156" s="13">
        <f>Messdaten!Q156-Messdaten!C156</f>
        <v>2471.5115100000003</v>
      </c>
      <c r="C156">
        <f t="shared" si="20"/>
        <v>2.697807648678454E-2</v>
      </c>
      <c r="D156">
        <f t="shared" si="21"/>
        <v>4.1434362346670655E-4</v>
      </c>
      <c r="I156">
        <v>773</v>
      </c>
      <c r="J156" s="13">
        <f>Messdaten!W156-Messdaten!F156</f>
        <v>4441.6129599999995</v>
      </c>
      <c r="K156">
        <f t="shared" si="22"/>
        <v>2.4228149348798772E-2</v>
      </c>
      <c r="L156">
        <f t="shared" si="23"/>
        <v>6.9004998887574613E-4</v>
      </c>
      <c r="M156">
        <v>553</v>
      </c>
      <c r="N156" s="13">
        <f>Messdaten!Z156-Messdaten!L156</f>
        <v>46503.634669999999</v>
      </c>
      <c r="O156">
        <f t="shared" si="24"/>
        <v>6.8021732221907438E-2</v>
      </c>
      <c r="P156">
        <f t="shared" si="25"/>
        <v>16904.646626803966</v>
      </c>
      <c r="Q156">
        <v>633</v>
      </c>
      <c r="R156">
        <f>Messdaten!AE156-Messdaten!C156</f>
        <v>4554.9802899999995</v>
      </c>
      <c r="S156">
        <f t="shared" si="26"/>
        <v>4.5533121658776862E-2</v>
      </c>
      <c r="U156">
        <v>633</v>
      </c>
      <c r="V156">
        <f>Messdaten!AH156-Messdaten!C156</f>
        <v>2887.0901400000002</v>
      </c>
      <c r="W156">
        <f t="shared" si="27"/>
        <v>3.3789549568382489E-2</v>
      </c>
      <c r="Y156" s="14">
        <f>A156</f>
        <v>633</v>
      </c>
      <c r="Z156">
        <f>D156*P236*Y156^4</f>
        <v>12322046230071.254</v>
      </c>
      <c r="AA156">
        <f>(Z156+Z157)/2*(Y157-Y156)</f>
        <v>12318443931068.104</v>
      </c>
    </row>
    <row r="157" spans="1:27" x14ac:dyDescent="0.2">
      <c r="A157">
        <v>634</v>
      </c>
      <c r="B157" s="13">
        <f>Messdaten!Q157-Messdaten!C157</f>
        <v>2319.9074599999999</v>
      </c>
      <c r="C157">
        <f t="shared" si="20"/>
        <v>2.5723028893477214E-2</v>
      </c>
      <c r="D157">
        <f t="shared" si="21"/>
        <v>3.8892752843535956E-4</v>
      </c>
      <c r="I157">
        <v>774</v>
      </c>
      <c r="J157" s="13">
        <f>Messdaten!W157-Messdaten!F157</f>
        <v>4652.9287699999995</v>
      </c>
      <c r="K157">
        <f t="shared" si="22"/>
        <v>2.5787027280158088E-2</v>
      </c>
      <c r="L157">
        <f t="shared" si="23"/>
        <v>7.2288006066565042E-4</v>
      </c>
      <c r="M157">
        <v>554</v>
      </c>
      <c r="N157" s="13">
        <f>Messdaten!Z157-Messdaten!L157</f>
        <v>47994.515400000004</v>
      </c>
      <c r="O157">
        <f t="shared" si="24"/>
        <v>7.018860926874311E-2</v>
      </c>
      <c r="P157">
        <f t="shared" si="25"/>
        <v>17446.600219941498</v>
      </c>
      <c r="Q157">
        <v>634</v>
      </c>
      <c r="R157">
        <f>Messdaten!AE157-Messdaten!C157</f>
        <v>4929.4196700000002</v>
      </c>
      <c r="S157">
        <f t="shared" si="26"/>
        <v>4.9161744695458018E-2</v>
      </c>
      <c r="U157">
        <v>634</v>
      </c>
      <c r="V157">
        <f>Messdaten!AH157-Messdaten!C157</f>
        <v>2825.6106300000001</v>
      </c>
      <c r="W157">
        <f t="shared" si="27"/>
        <v>3.3175912426215239E-2</v>
      </c>
      <c r="Y157" s="14">
        <f>A157</f>
        <v>634</v>
      </c>
      <c r="Z157">
        <f>D157*P237*Y157^4</f>
        <v>12314841632064.953</v>
      </c>
      <c r="AA157">
        <f>(Z157+Z158)/2*(Y158-Y157)</f>
        <v>12453877226216.121</v>
      </c>
    </row>
    <row r="158" spans="1:27" x14ac:dyDescent="0.2">
      <c r="A158">
        <v>635</v>
      </c>
      <c r="B158" s="13">
        <f>Messdaten!Q158-Messdaten!C158</f>
        <v>2295.4746300000002</v>
      </c>
      <c r="C158">
        <f t="shared" si="20"/>
        <v>2.5520762763455052E-2</v>
      </c>
      <c r="D158">
        <f t="shared" si="21"/>
        <v>3.8483141669451399E-4</v>
      </c>
      <c r="I158">
        <v>775</v>
      </c>
      <c r="J158" s="13">
        <f>Messdaten!W158-Messdaten!F158</f>
        <v>4717.8498100000006</v>
      </c>
      <c r="K158">
        <f t="shared" si="22"/>
        <v>2.6265950161209427E-2</v>
      </c>
      <c r="L158">
        <f t="shared" si="23"/>
        <v>7.3296620804797494E-4</v>
      </c>
      <c r="M158">
        <v>555</v>
      </c>
      <c r="N158" s="13">
        <f>Messdaten!Z158-Messdaten!L158</f>
        <v>48497.81437</v>
      </c>
      <c r="O158">
        <f t="shared" si="24"/>
        <v>7.0920114454801175E-2</v>
      </c>
      <c r="P158">
        <f t="shared" si="25"/>
        <v>17629.55562323115</v>
      </c>
      <c r="Q158">
        <v>635</v>
      </c>
      <c r="R158">
        <f>Messdaten!AE158-Messdaten!C158</f>
        <v>5398.6359600000005</v>
      </c>
      <c r="S158">
        <f t="shared" si="26"/>
        <v>5.3708833303178889E-2</v>
      </c>
      <c r="U158">
        <v>635</v>
      </c>
      <c r="V158">
        <f>Messdaten!AH158-Messdaten!C158</f>
        <v>3112.9924900000001</v>
      </c>
      <c r="W158">
        <f t="shared" si="27"/>
        <v>3.6044318229727784E-2</v>
      </c>
      <c r="Y158" s="14">
        <f>A158</f>
        <v>635</v>
      </c>
      <c r="Z158">
        <f>D158*P238*Y158^4</f>
        <v>12592912820367.289</v>
      </c>
      <c r="AA158">
        <f>(Z158+Z159)/2*(Y159-Y158)</f>
        <v>12172927049644.518</v>
      </c>
    </row>
    <row r="159" spans="1:27" x14ac:dyDescent="0.2">
      <c r="A159">
        <v>636</v>
      </c>
      <c r="B159" s="13">
        <f>Messdaten!Q159-Messdaten!C159</f>
        <v>2059.8329800000001</v>
      </c>
      <c r="C159">
        <f t="shared" si="20"/>
        <v>2.3570013520836083E-2</v>
      </c>
      <c r="D159">
        <f t="shared" si="21"/>
        <v>3.4532659759671687E-4</v>
      </c>
      <c r="I159">
        <v>776</v>
      </c>
      <c r="J159" s="13">
        <f>Messdaten!W159-Messdaten!F159</f>
        <v>4747.95964</v>
      </c>
      <c r="K159">
        <f t="shared" si="22"/>
        <v>2.6488070548245209E-2</v>
      </c>
      <c r="L159">
        <f t="shared" si="23"/>
        <v>7.3764407801180673E-4</v>
      </c>
      <c r="M159">
        <v>556</v>
      </c>
      <c r="N159" s="13">
        <f>Messdaten!Z159-Messdaten!L159</f>
        <v>49774.622839999996</v>
      </c>
      <c r="O159">
        <f t="shared" si="24"/>
        <v>7.277585442861409E-2</v>
      </c>
      <c r="P159">
        <f t="shared" si="25"/>
        <v>18093.691300982468</v>
      </c>
      <c r="Q159">
        <v>636</v>
      </c>
      <c r="R159">
        <f>Messdaten!AE159-Messdaten!C159</f>
        <v>5964.0446499999998</v>
      </c>
      <c r="S159">
        <f t="shared" si="26"/>
        <v>5.9188104734708639E-2</v>
      </c>
      <c r="U159">
        <v>636</v>
      </c>
      <c r="V159">
        <f>Messdaten!AH159-Messdaten!C159</f>
        <v>3426.4780499999997</v>
      </c>
      <c r="W159">
        <f t="shared" si="27"/>
        <v>3.9173269373760942E-2</v>
      </c>
      <c r="Y159" s="14">
        <f>A159</f>
        <v>636</v>
      </c>
      <c r="Z159">
        <f>D159*P239*Y159^4</f>
        <v>11752941278921.746</v>
      </c>
      <c r="AA159">
        <f>(Z159+Z160)/2*(Y160-Y159)</f>
        <v>11596655873326.682</v>
      </c>
    </row>
    <row r="160" spans="1:27" x14ac:dyDescent="0.2">
      <c r="A160">
        <v>637</v>
      </c>
      <c r="B160" s="13">
        <f>Messdaten!Q160-Messdaten!C160</f>
        <v>1931.1448200000002</v>
      </c>
      <c r="C160">
        <f t="shared" si="20"/>
        <v>2.2504674135145876E-2</v>
      </c>
      <c r="D160">
        <f t="shared" si="21"/>
        <v>3.2375230255664913E-4</v>
      </c>
      <c r="I160">
        <v>777</v>
      </c>
      <c r="J160" s="13">
        <f>Messdaten!W160-Messdaten!F160</f>
        <v>4240.2565599999998</v>
      </c>
      <c r="K160">
        <f t="shared" si="22"/>
        <v>2.2742742041612626E-2</v>
      </c>
      <c r="L160">
        <f t="shared" si="23"/>
        <v>6.5876721326441501E-4</v>
      </c>
      <c r="M160">
        <v>557</v>
      </c>
      <c r="N160" s="13">
        <f>Messdaten!Z160-Messdaten!L160</f>
        <v>50433.282629999994</v>
      </c>
      <c r="O160">
        <f t="shared" si="24"/>
        <v>7.3733164260249381E-2</v>
      </c>
      <c r="P160">
        <f t="shared" si="25"/>
        <v>18333.122284737758</v>
      </c>
      <c r="Q160">
        <v>637</v>
      </c>
      <c r="R160">
        <f>Messdaten!AE160-Messdaten!C160</f>
        <v>6685.67688</v>
      </c>
      <c r="S160">
        <f t="shared" si="26"/>
        <v>6.6181309706337413E-2</v>
      </c>
      <c r="U160">
        <v>637</v>
      </c>
      <c r="V160">
        <f>Messdaten!AH160-Messdaten!C160</f>
        <v>3373.5353800000003</v>
      </c>
      <c r="W160">
        <f t="shared" si="27"/>
        <v>3.8644839841425645E-2</v>
      </c>
      <c r="Y160" s="14">
        <f>A160</f>
        <v>637</v>
      </c>
      <c r="Z160">
        <f>D160*P240*Y160^4</f>
        <v>11440370467731.617</v>
      </c>
      <c r="AA160">
        <f>(Z160+Z161)/2*(Y161-Y160)</f>
        <v>12023576382227.215</v>
      </c>
    </row>
    <row r="161" spans="1:27" x14ac:dyDescent="0.2">
      <c r="A161">
        <v>638</v>
      </c>
      <c r="B161" s="13">
        <f>Messdaten!Q161-Messdaten!C161</f>
        <v>2034.8501099999999</v>
      </c>
      <c r="C161">
        <f t="shared" si="20"/>
        <v>2.3363193908382398E-2</v>
      </c>
      <c r="D161">
        <f t="shared" si="21"/>
        <v>3.411382728252098E-4</v>
      </c>
      <c r="I161">
        <v>778</v>
      </c>
      <c r="J161" s="13">
        <f>Messdaten!W161-Messdaten!F161</f>
        <v>4133.9352399999998</v>
      </c>
      <c r="K161">
        <f t="shared" si="22"/>
        <v>2.1958409059707525E-2</v>
      </c>
      <c r="L161">
        <f t="shared" si="23"/>
        <v>6.4224910906578744E-4</v>
      </c>
      <c r="M161">
        <v>558</v>
      </c>
      <c r="N161" s="13">
        <f>Messdaten!Z161-Messdaten!L161</f>
        <v>53138.292119999998</v>
      </c>
      <c r="O161">
        <f t="shared" si="24"/>
        <v>7.7664681287338236E-2</v>
      </c>
      <c r="P161">
        <f t="shared" si="25"/>
        <v>19316.426705458671</v>
      </c>
      <c r="Q161">
        <v>638</v>
      </c>
      <c r="R161">
        <f>Messdaten!AE161-Messdaten!C161</f>
        <v>6950.0995199999998</v>
      </c>
      <c r="S161">
        <f t="shared" si="26"/>
        <v>6.8743780787568362E-2</v>
      </c>
      <c r="U161">
        <v>638</v>
      </c>
      <c r="V161">
        <f>Messdaten!AH161-Messdaten!C161</f>
        <v>3929.7373899999998</v>
      </c>
      <c r="W161">
        <f t="shared" si="27"/>
        <v>4.4196383955620394E-2</v>
      </c>
      <c r="Y161" s="14">
        <f>A161</f>
        <v>638</v>
      </c>
      <c r="Z161">
        <f>D161*P241*Y161^4</f>
        <v>12606782296722.811</v>
      </c>
      <c r="AA161">
        <f>(Z161+Z162)/2*(Y162-Y161)</f>
        <v>11739121647365.719</v>
      </c>
    </row>
    <row r="162" spans="1:27" x14ac:dyDescent="0.2">
      <c r="A162">
        <v>639</v>
      </c>
      <c r="B162" s="13">
        <f>Messdaten!Q162-Messdaten!C162</f>
        <v>1696.1739699999998</v>
      </c>
      <c r="C162">
        <f t="shared" si="20"/>
        <v>2.0559478081413292E-2</v>
      </c>
      <c r="D162">
        <f t="shared" si="21"/>
        <v>2.8435994164547051E-4</v>
      </c>
      <c r="I162">
        <v>779</v>
      </c>
      <c r="J162" s="13">
        <f>Messdaten!W162-Messdaten!F162</f>
        <v>2658.65933</v>
      </c>
      <c r="K162">
        <f t="shared" si="22"/>
        <v>1.1075290287075063E-2</v>
      </c>
      <c r="L162">
        <f t="shared" si="23"/>
        <v>4.1304991173542026E-4</v>
      </c>
      <c r="M162">
        <v>559</v>
      </c>
      <c r="N162" s="13">
        <f>Messdaten!Z162-Messdaten!L162</f>
        <v>54253.790119999998</v>
      </c>
      <c r="O162">
        <f t="shared" si="24"/>
        <v>7.928596927057692E-2</v>
      </c>
      <c r="P162">
        <f t="shared" si="25"/>
        <v>19721.924031349878</v>
      </c>
      <c r="Q162">
        <v>639</v>
      </c>
      <c r="R162">
        <f>Messdaten!AE162-Messdaten!C162</f>
        <v>7787.2587600000006</v>
      </c>
      <c r="S162">
        <f t="shared" si="26"/>
        <v>7.6856536725884703E-2</v>
      </c>
      <c r="U162">
        <v>639</v>
      </c>
      <c r="V162">
        <f>Messdaten!AH162-Messdaten!C162</f>
        <v>3996.1086199999995</v>
      </c>
      <c r="W162">
        <f t="shared" si="27"/>
        <v>4.48588461629367E-2</v>
      </c>
      <c r="Y162" s="14">
        <f>A162</f>
        <v>639</v>
      </c>
      <c r="Z162">
        <f>D162*P242*Y162^4</f>
        <v>10871460998008.625</v>
      </c>
      <c r="AA162">
        <f>(Z162+Z163)/2*(Y163-Y162)</f>
        <v>10946116322278.598</v>
      </c>
    </row>
    <row r="163" spans="1:27" x14ac:dyDescent="0.2">
      <c r="A163">
        <v>640</v>
      </c>
      <c r="B163" s="13">
        <f>Messdaten!Q163-Messdaten!C163</f>
        <v>1679.8976600000001</v>
      </c>
      <c r="C163">
        <f t="shared" si="20"/>
        <v>2.0424735350639125E-2</v>
      </c>
      <c r="D163">
        <f t="shared" si="21"/>
        <v>2.8163125305357827E-4</v>
      </c>
      <c r="I163">
        <v>780</v>
      </c>
      <c r="J163" s="13">
        <f>Messdaten!W163-Messdaten!F163</f>
        <v>2656.0885800000001</v>
      </c>
      <c r="K163">
        <f t="shared" si="22"/>
        <v>1.1056325849714501E-2</v>
      </c>
      <c r="L163">
        <f t="shared" si="23"/>
        <v>4.126505194369742E-4</v>
      </c>
      <c r="M163">
        <v>560</v>
      </c>
      <c r="N163" s="13">
        <f>Messdaten!Z163-Messdaten!L163</f>
        <v>56572.746420000003</v>
      </c>
      <c r="O163">
        <f t="shared" si="24"/>
        <v>8.2656388565677058E-2</v>
      </c>
      <c r="P163">
        <f t="shared" si="25"/>
        <v>20564.893340580882</v>
      </c>
      <c r="Q163">
        <v>640</v>
      </c>
      <c r="R163">
        <f>Messdaten!AE163-Messdaten!C163</f>
        <v>9172.499029999999</v>
      </c>
      <c r="S163">
        <f t="shared" si="26"/>
        <v>9.0280644935497728E-2</v>
      </c>
      <c r="U163">
        <v>640</v>
      </c>
      <c r="V163">
        <f>Messdaten!AH163-Messdaten!C163</f>
        <v>4436.6388999999999</v>
      </c>
      <c r="W163">
        <f t="shared" si="27"/>
        <v>4.9255851637725549E-2</v>
      </c>
      <c r="Y163" s="14">
        <f>A163</f>
        <v>640</v>
      </c>
      <c r="Z163">
        <f>D163*P243*Y163^4</f>
        <v>11020771646548.572</v>
      </c>
      <c r="AA163">
        <f>(Z163+Z164)/2*(Y164-Y163)</f>
        <v>11134200489657.695</v>
      </c>
    </row>
    <row r="164" spans="1:27" x14ac:dyDescent="0.2">
      <c r="A164">
        <v>641</v>
      </c>
      <c r="B164" s="13">
        <f>Messdaten!Q164-Messdaten!C164</f>
        <v>1673.00605</v>
      </c>
      <c r="C164">
        <f t="shared" si="20"/>
        <v>2.0367683454304474E-2</v>
      </c>
      <c r="D164">
        <f t="shared" si="21"/>
        <v>2.8047588936323505E-4</v>
      </c>
      <c r="I164">
        <v>781</v>
      </c>
      <c r="J164" s="13">
        <f>Messdaten!W164-Messdaten!F164</f>
        <v>2326.8491300000001</v>
      </c>
      <c r="K164">
        <f t="shared" ref="K164:K183" si="28">(J164-MIN(J:J))/(MAX(J:J)-MIN(J:J))</f>
        <v>8.627524555869617E-3</v>
      </c>
      <c r="L164">
        <f t="shared" si="23"/>
        <v>3.6149980440259698E-4</v>
      </c>
      <c r="M164">
        <v>561</v>
      </c>
      <c r="N164" s="13">
        <f>Messdaten!Z164-Messdaten!L164</f>
        <v>57391.935570000001</v>
      </c>
      <c r="O164">
        <f t="shared" si="24"/>
        <v>8.3847015106374129E-2</v>
      </c>
      <c r="P164">
        <f t="shared" si="25"/>
        <v>20862.678733046032</v>
      </c>
      <c r="Q164">
        <v>641</v>
      </c>
      <c r="R164">
        <f>Messdaten!AE164-Messdaten!C164</f>
        <v>10591.624690000001</v>
      </c>
      <c r="S164">
        <f t="shared" si="26"/>
        <v>0.1040331302158156</v>
      </c>
      <c r="U164">
        <v>641</v>
      </c>
      <c r="V164">
        <f>Messdaten!AH164-Messdaten!C164</f>
        <v>4930.1680800000004</v>
      </c>
      <c r="W164">
        <f t="shared" si="27"/>
        <v>5.4181847885765654E-2</v>
      </c>
      <c r="Y164" s="14">
        <f>A164</f>
        <v>641</v>
      </c>
      <c r="Z164">
        <f>D164*P244*Y164^4</f>
        <v>11247629332766.82</v>
      </c>
      <c r="AA164">
        <f>(Z164+Z165)/2*(Y165-Y164)</f>
        <v>11220868115457.254</v>
      </c>
    </row>
    <row r="165" spans="1:27" x14ac:dyDescent="0.2">
      <c r="A165">
        <v>642</v>
      </c>
      <c r="B165" s="13">
        <f>Messdaten!Q165-Messdaten!C165</f>
        <v>1621.9258199999999</v>
      </c>
      <c r="C165">
        <f t="shared" si="20"/>
        <v>1.9944817971970168E-2</v>
      </c>
      <c r="D165">
        <f t="shared" si="21"/>
        <v>2.7191239795318985E-4</v>
      </c>
      <c r="I165">
        <v>782</v>
      </c>
      <c r="J165" s="13">
        <f>Messdaten!W165-Messdaten!F165</f>
        <v>3078.1847699999998</v>
      </c>
      <c r="K165">
        <f t="shared" si="28"/>
        <v>1.4170131842280078E-2</v>
      </c>
      <c r="L165">
        <f t="shared" si="23"/>
        <v>4.7822747849150533E-4</v>
      </c>
      <c r="M165">
        <v>562</v>
      </c>
      <c r="N165" s="13">
        <f>Messdaten!Z165-Messdaten!L165</f>
        <v>59644.759099999996</v>
      </c>
      <c r="O165">
        <f t="shared" si="24"/>
        <v>8.7121315658725024E-2</v>
      </c>
      <c r="P165">
        <f t="shared" si="25"/>
        <v>21681.607962071801</v>
      </c>
      <c r="Q165">
        <v>642</v>
      </c>
      <c r="R165">
        <f>Messdaten!AE165-Messdaten!C165</f>
        <v>10962.15151</v>
      </c>
      <c r="S165">
        <f t="shared" si="26"/>
        <v>0.10762383735447235</v>
      </c>
      <c r="U165">
        <v>642</v>
      </c>
      <c r="V165">
        <f>Messdaten!AH165-Messdaten!C165</f>
        <v>5234.1891699999996</v>
      </c>
      <c r="W165">
        <f t="shared" si="27"/>
        <v>5.7216332591746077E-2</v>
      </c>
      <c r="Y165" s="14">
        <f>A165</f>
        <v>642</v>
      </c>
      <c r="Z165">
        <f>D165*P245*Y165^4</f>
        <v>11194106898147.686</v>
      </c>
      <c r="AA165">
        <f>(Z165+Z166)/2*(Y166-Y165)</f>
        <v>11420341675161.453</v>
      </c>
    </row>
    <row r="166" spans="1:27" x14ac:dyDescent="0.2">
      <c r="A166">
        <v>643</v>
      </c>
      <c r="B166" s="13">
        <f>Messdaten!Q166-Messdaten!C166</f>
        <v>1649.4576299999999</v>
      </c>
      <c r="C166">
        <f t="shared" si="20"/>
        <v>2.0172738874346417E-2</v>
      </c>
      <c r="D166">
        <f t="shared" si="21"/>
        <v>2.76528047069061E-4</v>
      </c>
      <c r="I166">
        <v>783</v>
      </c>
      <c r="J166" s="13">
        <f>Messdaten!W166-Messdaten!F166</f>
        <v>3023.3070600000001</v>
      </c>
      <c r="K166">
        <f t="shared" si="28"/>
        <v>1.376529866371887E-2</v>
      </c>
      <c r="L166">
        <f t="shared" si="23"/>
        <v>4.6970166511783705E-4</v>
      </c>
      <c r="M166">
        <v>563</v>
      </c>
      <c r="N166" s="13">
        <f>Messdaten!Z166-Messdaten!L166</f>
        <v>61139.183710000005</v>
      </c>
      <c r="O166">
        <f t="shared" si="24"/>
        <v>8.9293343454426272E-2</v>
      </c>
      <c r="P166">
        <f t="shared" si="25"/>
        <v>22224.84979944041</v>
      </c>
      <c r="Q166">
        <v>643</v>
      </c>
      <c r="R166">
        <f>Messdaten!AE166-Messdaten!C166</f>
        <v>12534.48273</v>
      </c>
      <c r="S166">
        <f t="shared" si="26"/>
        <v>0.12286100948680787</v>
      </c>
      <c r="U166">
        <v>643</v>
      </c>
      <c r="V166">
        <f>Messdaten!AH166-Messdaten!C166</f>
        <v>5844.6374699999997</v>
      </c>
      <c r="W166">
        <f t="shared" si="27"/>
        <v>6.3309317884778712E-2</v>
      </c>
      <c r="Y166" s="14">
        <f>A166</f>
        <v>643</v>
      </c>
      <c r="Z166">
        <f>D166*P246*Y166^4</f>
        <v>11646576452175.221</v>
      </c>
      <c r="AA166">
        <f>(Z166+Z167)/2*(Y167-Y166)</f>
        <v>11323202967050.16</v>
      </c>
    </row>
    <row r="167" spans="1:27" x14ac:dyDescent="0.2">
      <c r="A167">
        <v>644</v>
      </c>
      <c r="B167" s="13">
        <f>Messdaten!Q167-Messdaten!C167</f>
        <v>1542.47732</v>
      </c>
      <c r="C167">
        <f t="shared" si="20"/>
        <v>1.9287106989203693E-2</v>
      </c>
      <c r="D167">
        <f t="shared" si="21"/>
        <v>2.5859302669564124E-4</v>
      </c>
      <c r="I167">
        <v>784</v>
      </c>
      <c r="J167" s="13">
        <f>Messdaten!W167-Messdaten!F167</f>
        <v>2919.7677199999998</v>
      </c>
      <c r="K167">
        <f t="shared" si="28"/>
        <v>1.3001488364084832E-2</v>
      </c>
      <c r="L167">
        <f t="shared" si="23"/>
        <v>4.5361576995798451E-4</v>
      </c>
      <c r="M167">
        <v>564</v>
      </c>
      <c r="N167" s="13">
        <f>Messdaten!Z167-Messdaten!L167</f>
        <v>62604.469239999999</v>
      </c>
      <c r="O167">
        <f t="shared" si="24"/>
        <v>9.1423019905484459E-2</v>
      </c>
      <c r="P167">
        <f t="shared" si="25"/>
        <v>22757.499220669382</v>
      </c>
      <c r="Q167">
        <v>644</v>
      </c>
      <c r="R167">
        <f>Messdaten!AE167-Messdaten!C167</f>
        <v>13469.23603</v>
      </c>
      <c r="S167">
        <f t="shared" si="26"/>
        <v>0.13191953147772059</v>
      </c>
      <c r="U167">
        <v>644</v>
      </c>
      <c r="V167">
        <f>Messdaten!AH167-Messdaten!C167</f>
        <v>6208.0395200000003</v>
      </c>
      <c r="W167">
        <f t="shared" si="27"/>
        <v>6.693649375881737E-2</v>
      </c>
      <c r="Y167" s="14">
        <f>A167</f>
        <v>644</v>
      </c>
      <c r="Z167">
        <f>D167*P247*Y167^4</f>
        <v>10999829481925.098</v>
      </c>
      <c r="AA167">
        <f>(Z167+Z168)/2*(Y168-Y167)</f>
        <v>11076767189739.57</v>
      </c>
    </row>
    <row r="168" spans="1:27" x14ac:dyDescent="0.2">
      <c r="A168">
        <v>645</v>
      </c>
      <c r="B168" s="13">
        <f>Messdaten!Q168-Messdaten!C168</f>
        <v>1537.5960700000001</v>
      </c>
      <c r="C168">
        <f t="shared" si="20"/>
        <v>1.924669777147613E-2</v>
      </c>
      <c r="D168">
        <f t="shared" si="21"/>
        <v>2.5777469556351277E-4</v>
      </c>
      <c r="I168">
        <v>785</v>
      </c>
      <c r="J168" s="13">
        <f>Messdaten!W168-Messdaten!F168</f>
        <v>4223.0682399999996</v>
      </c>
      <c r="K168">
        <f t="shared" si="28"/>
        <v>2.2615943707284768E-2</v>
      </c>
      <c r="L168">
        <f t="shared" si="23"/>
        <v>6.5609683200166017E-4</v>
      </c>
      <c r="M168">
        <v>565</v>
      </c>
      <c r="N168" s="13">
        <f>Messdaten!Z168-Messdaten!L168</f>
        <v>64820.700839999998</v>
      </c>
      <c r="O168">
        <f t="shared" si="24"/>
        <v>9.4644136986065344E-2</v>
      </c>
      <c r="P168">
        <f t="shared" si="25"/>
        <v>23563.12683036083</v>
      </c>
      <c r="Q168">
        <v>645</v>
      </c>
      <c r="R168">
        <f>Messdaten!AE168-Messdaten!C168</f>
        <v>15392.02406</v>
      </c>
      <c r="S168">
        <f t="shared" si="26"/>
        <v>0.15055291597994036</v>
      </c>
      <c r="U168">
        <v>645</v>
      </c>
      <c r="V168">
        <f>Messdaten!AH168-Messdaten!C168</f>
        <v>6804.0308799999993</v>
      </c>
      <c r="W168">
        <f t="shared" si="27"/>
        <v>7.2885181946260133E-2</v>
      </c>
      <c r="Y168" s="14">
        <f>A168</f>
        <v>645</v>
      </c>
      <c r="Z168">
        <f>D168*P248*Y168^4</f>
        <v>11153704897554.043</v>
      </c>
      <c r="AA168">
        <f>(Z168+Z169)/2*(Y169-Y168)</f>
        <v>10745806736100.922</v>
      </c>
    </row>
    <row r="169" spans="1:27" x14ac:dyDescent="0.2">
      <c r="A169">
        <v>646</v>
      </c>
      <c r="B169" s="13">
        <f>Messdaten!Q169-Messdaten!C169</f>
        <v>1432.77881</v>
      </c>
      <c r="C169">
        <f t="shared" si="20"/>
        <v>1.8378972602524055E-2</v>
      </c>
      <c r="D169">
        <f t="shared" si="21"/>
        <v>2.4020230590053606E-4</v>
      </c>
      <c r="I169">
        <v>786</v>
      </c>
      <c r="J169" s="13">
        <f>Messdaten!W169-Messdaten!F169</f>
        <v>3037.5763200000001</v>
      </c>
      <c r="K169">
        <f t="shared" si="28"/>
        <v>1.3870563075836582E-2</v>
      </c>
      <c r="L169">
        <f t="shared" si="23"/>
        <v>4.7191854056217227E-4</v>
      </c>
      <c r="M169">
        <v>566</v>
      </c>
      <c r="N169" s="13">
        <f>Messdaten!Z169-Messdaten!L169</f>
        <v>69187.745519999997</v>
      </c>
      <c r="O169">
        <f t="shared" si="24"/>
        <v>0.1009912905102764</v>
      </c>
      <c r="P169">
        <f t="shared" si="25"/>
        <v>25150.601608251432</v>
      </c>
      <c r="Q169">
        <v>646</v>
      </c>
      <c r="R169">
        <f>Messdaten!AE169-Messdaten!C169</f>
        <v>16525.505870000001</v>
      </c>
      <c r="S169">
        <f t="shared" si="26"/>
        <v>0.16153727934317702</v>
      </c>
      <c r="U169">
        <v>646</v>
      </c>
      <c r="V169">
        <f>Messdaten!AH169-Messdaten!C169</f>
        <v>7359.2532699999992</v>
      </c>
      <c r="W169">
        <f t="shared" si="27"/>
        <v>7.8426948311458355E-2</v>
      </c>
      <c r="Y169" s="14">
        <f>A169</f>
        <v>646</v>
      </c>
      <c r="Z169">
        <f>D169*P249*Y169^4</f>
        <v>10337908574647.801</v>
      </c>
      <c r="AA169">
        <f>(Z169+Z170)/2*(Y170-Y169)</f>
        <v>10176764316890.391</v>
      </c>
    </row>
    <row r="170" spans="1:27" x14ac:dyDescent="0.2">
      <c r="A170">
        <v>647</v>
      </c>
      <c r="B170" s="13">
        <f>Messdaten!Q170-Messdaten!C170</f>
        <v>1377.1553000000001</v>
      </c>
      <c r="C170">
        <f t="shared" si="20"/>
        <v>1.7918495772539594E-2</v>
      </c>
      <c r="D170">
        <f t="shared" si="21"/>
        <v>2.3087714330668007E-4</v>
      </c>
      <c r="I170">
        <v>787</v>
      </c>
      <c r="J170" s="13">
        <f>Messdaten!W170-Messdaten!F170</f>
        <v>3523.17362</v>
      </c>
      <c r="K170">
        <f t="shared" si="28"/>
        <v>1.7452817117773481E-2</v>
      </c>
      <c r="L170">
        <f t="shared" si="23"/>
        <v>5.4736104635472844E-4</v>
      </c>
      <c r="M170">
        <v>567</v>
      </c>
      <c r="N170" s="13">
        <f>Messdaten!Z170-Messdaten!L170</f>
        <v>69147.420759999994</v>
      </c>
      <c r="O170">
        <f t="shared" si="24"/>
        <v>0.10093268166578274</v>
      </c>
      <c r="P170">
        <f t="shared" si="25"/>
        <v>25135.943059023011</v>
      </c>
      <c r="Q170">
        <v>647</v>
      </c>
      <c r="R170">
        <f>Messdaten!AE170-Messdaten!C170</f>
        <v>18336.64748</v>
      </c>
      <c r="S170">
        <f t="shared" si="26"/>
        <v>0.17908871896135445</v>
      </c>
      <c r="U170">
        <v>647</v>
      </c>
      <c r="V170">
        <f>Messdaten!AH170-Messdaten!C170</f>
        <v>8191.82071</v>
      </c>
      <c r="W170">
        <f t="shared" si="27"/>
        <v>8.6736941422058941E-2</v>
      </c>
      <c r="Y170" s="14">
        <f>A170</f>
        <v>647</v>
      </c>
      <c r="Z170">
        <f>D170*P250*Y170^4</f>
        <v>10015620059132.979</v>
      </c>
      <c r="AA170">
        <f>(Z170+Z171)/2*(Y171-Y170)</f>
        <v>9603544826167.5039</v>
      </c>
    </row>
    <row r="171" spans="1:27" x14ac:dyDescent="0.2">
      <c r="A171">
        <v>648</v>
      </c>
      <c r="B171" s="13">
        <f>Messdaten!Q171-Messdaten!C171</f>
        <v>1271.9928300000001</v>
      </c>
      <c r="C171">
        <f t="shared" si="20"/>
        <v>1.7047912797482172E-2</v>
      </c>
      <c r="D171">
        <f t="shared" si="21"/>
        <v>2.1324687992485636E-4</v>
      </c>
      <c r="I171">
        <v>788</v>
      </c>
      <c r="J171" s="13">
        <f>Messdaten!W171-Messdaten!F171</f>
        <v>4708.8576999999996</v>
      </c>
      <c r="K171">
        <f t="shared" si="28"/>
        <v>2.6199615314633787E-2</v>
      </c>
      <c r="L171">
        <f t="shared" si="23"/>
        <v>7.3156919181505435E-4</v>
      </c>
      <c r="M171">
        <v>568</v>
      </c>
      <c r="N171" s="13">
        <f>Messdaten!Z171-Messdaten!L171</f>
        <v>74528.435000000012</v>
      </c>
      <c r="O171">
        <f t="shared" si="24"/>
        <v>0.10875355962786623</v>
      </c>
      <c r="P171">
        <f t="shared" si="25"/>
        <v>27092.0083185775</v>
      </c>
      <c r="Q171">
        <v>648</v>
      </c>
      <c r="R171">
        <f>Messdaten!AE171-Messdaten!C171</f>
        <v>20421.328350000003</v>
      </c>
      <c r="S171">
        <f t="shared" si="26"/>
        <v>0.19929097714533744</v>
      </c>
      <c r="U171">
        <v>648</v>
      </c>
      <c r="V171">
        <f>Messdaten!AH171-Messdaten!C171</f>
        <v>9187.3655699999999</v>
      </c>
      <c r="W171">
        <f t="shared" si="27"/>
        <v>9.6673639076117826E-2</v>
      </c>
      <c r="Y171" s="14">
        <f>A171</f>
        <v>648</v>
      </c>
      <c r="Z171">
        <f>D171*P251*Y171^4</f>
        <v>9191469593202.0293</v>
      </c>
      <c r="AA171">
        <f>(Z171+Z172)/2*(Y172-Y171)</f>
        <v>9310404032833.4492</v>
      </c>
    </row>
    <row r="172" spans="1:27" x14ac:dyDescent="0.2">
      <c r="A172">
        <v>649</v>
      </c>
      <c r="B172" s="13">
        <f>Messdaten!Q172-Messdaten!C172</f>
        <v>1324.86843</v>
      </c>
      <c r="C172">
        <f t="shared" si="20"/>
        <v>1.7485641172975314E-2</v>
      </c>
      <c r="D172">
        <f t="shared" si="21"/>
        <v>2.2211136127901204E-4</v>
      </c>
      <c r="I172">
        <v>789</v>
      </c>
      <c r="J172" s="13">
        <f>Messdaten!W172-Messdaten!F172</f>
        <v>1989.7256199999999</v>
      </c>
      <c r="K172">
        <f t="shared" si="28"/>
        <v>6.1405625065965776E-3</v>
      </c>
      <c r="L172">
        <f t="shared" si="23"/>
        <v>3.0912422003262236E-4</v>
      </c>
      <c r="M172">
        <v>569</v>
      </c>
      <c r="N172" s="13">
        <f>Messdaten!Z172-Messdaten!L172</f>
        <v>74420.86133</v>
      </c>
      <c r="O172">
        <f t="shared" si="24"/>
        <v>0.10859720981954393</v>
      </c>
      <c r="P172">
        <f t="shared" si="25"/>
        <v>27052.903958443003</v>
      </c>
      <c r="Q172">
        <v>649</v>
      </c>
      <c r="R172">
        <f>Messdaten!AE172-Messdaten!C172</f>
        <v>22517.68089</v>
      </c>
      <c r="S172">
        <f t="shared" si="26"/>
        <v>0.2196063433326467</v>
      </c>
      <c r="U172">
        <v>649</v>
      </c>
      <c r="V172">
        <f>Messdaten!AH172-Messdaten!C172</f>
        <v>9339.8101599999991</v>
      </c>
      <c r="W172">
        <f t="shared" si="27"/>
        <v>9.8195213703932152E-2</v>
      </c>
      <c r="Y172" s="14">
        <f>A172</f>
        <v>649</v>
      </c>
      <c r="Z172">
        <f>D172*P252*Y172^4</f>
        <v>9429338472464.8691</v>
      </c>
      <c r="AA172">
        <f>(Z172+Z173)/2*(Y173-Y172)</f>
        <v>9551779408179.1621</v>
      </c>
    </row>
    <row r="173" spans="1:27" x14ac:dyDescent="0.2">
      <c r="A173">
        <v>650</v>
      </c>
      <c r="B173" s="13">
        <f>Messdaten!Q173-Messdaten!C173</f>
        <v>1410.2883400000001</v>
      </c>
      <c r="C173">
        <f t="shared" si="20"/>
        <v>1.819278621603998E-2</v>
      </c>
      <c r="D173">
        <f t="shared" si="21"/>
        <v>2.3643182666320927E-4</v>
      </c>
      <c r="I173">
        <v>790</v>
      </c>
      <c r="J173" s="13">
        <f>Messdaten!W173-Messdaten!F173</f>
        <v>3188.2783399999998</v>
      </c>
      <c r="K173">
        <f t="shared" si="28"/>
        <v>1.4982292733874332E-2</v>
      </c>
      <c r="L173">
        <f t="shared" si="23"/>
        <v>4.9533164029892923E-4</v>
      </c>
      <c r="M173">
        <v>570</v>
      </c>
      <c r="N173" s="13">
        <f>Messdaten!Z173-Messdaten!L173</f>
        <v>77786.672559999992</v>
      </c>
      <c r="O173">
        <f t="shared" si="24"/>
        <v>0.11348914983292699</v>
      </c>
      <c r="P173">
        <f t="shared" si="25"/>
        <v>28276.417988248155</v>
      </c>
      <c r="Q173">
        <v>650</v>
      </c>
      <c r="R173">
        <f>Messdaten!AE173-Messdaten!C173</f>
        <v>23857.458719999999</v>
      </c>
      <c r="S173">
        <f t="shared" si="26"/>
        <v>0.23258988341321377</v>
      </c>
      <c r="U173">
        <v>650</v>
      </c>
      <c r="V173">
        <f>Messdaten!AH173-Messdaten!C173</f>
        <v>10408.685170000001</v>
      </c>
      <c r="W173">
        <f t="shared" si="27"/>
        <v>0.10886383169503823</v>
      </c>
      <c r="Y173" s="14">
        <f>A173</f>
        <v>650</v>
      </c>
      <c r="Z173">
        <f>D173*P253*Y173^4</f>
        <v>9674220343893.4551</v>
      </c>
      <c r="AA173">
        <f>(Z173+Z174)/2*(Y174-Y173)</f>
        <v>8108236848314.5186</v>
      </c>
    </row>
    <row r="174" spans="1:27" x14ac:dyDescent="0.2">
      <c r="A174">
        <v>651</v>
      </c>
      <c r="B174" s="13">
        <f>Messdaten!Q174-Messdaten!C174</f>
        <v>979.47255999999993</v>
      </c>
      <c r="C174">
        <f t="shared" si="20"/>
        <v>1.4626296350842987E-2</v>
      </c>
      <c r="D174">
        <f t="shared" si="21"/>
        <v>1.642064817236522E-4</v>
      </c>
      <c r="I174">
        <v>791</v>
      </c>
      <c r="J174" s="13">
        <f>Messdaten!W174-Messdaten!F174</f>
        <v>1963.1329700000001</v>
      </c>
      <c r="K174">
        <f t="shared" si="28"/>
        <v>5.9443883764102841E-3</v>
      </c>
      <c r="L174">
        <f t="shared" si="23"/>
        <v>3.0499277994499338E-4</v>
      </c>
      <c r="M174">
        <v>571</v>
      </c>
      <c r="N174" s="13">
        <f>Messdaten!Z174-Messdaten!L174</f>
        <v>81651.251449999996</v>
      </c>
      <c r="O174">
        <f t="shared" si="24"/>
        <v>0.11910600913221292</v>
      </c>
      <c r="P174">
        <f t="shared" si="25"/>
        <v>29681.240234088673</v>
      </c>
      <c r="Q174">
        <v>651</v>
      </c>
      <c r="R174">
        <f>Messdaten!AE174-Messdaten!C174</f>
        <v>25786.171569999999</v>
      </c>
      <c r="S174">
        <f t="shared" si="26"/>
        <v>0.25128068425433514</v>
      </c>
      <c r="U174">
        <v>651</v>
      </c>
      <c r="V174">
        <f>Messdaten!AH174-Messdaten!C174</f>
        <v>10976.01974</v>
      </c>
      <c r="W174">
        <f t="shared" si="27"/>
        <v>0.11452649172904764</v>
      </c>
      <c r="Y174" s="14">
        <f>A174</f>
        <v>651</v>
      </c>
      <c r="Z174">
        <f>D174*P254*Y174^4</f>
        <v>6542253352735.582</v>
      </c>
      <c r="AA174">
        <f>(Z174+Z175)/2*(Y175-Y174)</f>
        <v>6666996246780.8652</v>
      </c>
    </row>
    <row r="175" spans="1:27" x14ac:dyDescent="0.2">
      <c r="A175">
        <v>652</v>
      </c>
      <c r="B175" s="13">
        <f>Messdaten!Q175-Messdaten!C175</f>
        <v>1053.30555</v>
      </c>
      <c r="C175">
        <f t="shared" si="20"/>
        <v>1.5237519576120833E-2</v>
      </c>
      <c r="D175">
        <f t="shared" si="21"/>
        <v>1.7658442472905667E-4</v>
      </c>
      <c r="I175">
        <v>792</v>
      </c>
      <c r="J175" s="13">
        <f>Messdaten!W175-Messdaten!F175</f>
        <v>4327.7752799999998</v>
      </c>
      <c r="K175">
        <f t="shared" si="28"/>
        <v>2.3388368136455298E-2</v>
      </c>
      <c r="L175">
        <f t="shared" si="23"/>
        <v>6.7236414129625763E-4</v>
      </c>
      <c r="M175">
        <v>572</v>
      </c>
      <c r="N175" s="13">
        <f>Messdaten!Z175-Messdaten!L175</f>
        <v>84611.520750000011</v>
      </c>
      <c r="O175">
        <f t="shared" si="24"/>
        <v>0.12340852607374073</v>
      </c>
      <c r="P175">
        <f t="shared" si="25"/>
        <v>30757.334754265165</v>
      </c>
      <c r="Q175">
        <v>652</v>
      </c>
      <c r="R175">
        <f>Messdaten!AE175-Messdaten!C175</f>
        <v>28254.0959</v>
      </c>
      <c r="S175">
        <f t="shared" si="26"/>
        <v>0.27519688419202304</v>
      </c>
      <c r="U175">
        <v>652</v>
      </c>
      <c r="V175">
        <f>Messdaten!AH175-Messdaten!C175</f>
        <v>12105.33783</v>
      </c>
      <c r="W175">
        <f t="shared" si="27"/>
        <v>0.12579840208333271</v>
      </c>
      <c r="Y175" s="14">
        <f>A175</f>
        <v>652</v>
      </c>
      <c r="Z175">
        <f>D175*P255*Y175^4</f>
        <v>6791739140826.1494</v>
      </c>
      <c r="AA175">
        <f>(Z175+Z176)/2*(Y176-Y175)</f>
        <v>7157523806397.1465</v>
      </c>
    </row>
    <row r="176" spans="1:27" x14ac:dyDescent="0.2">
      <c r="A176">
        <v>653</v>
      </c>
      <c r="B176" s="13">
        <f>Messdaten!Q176-Messdaten!C176</f>
        <v>1209.51604</v>
      </c>
      <c r="C176">
        <f t="shared" si="20"/>
        <v>1.6530701384415918E-2</v>
      </c>
      <c r="D176">
        <f t="shared" si="21"/>
        <v>2.0277277958325265E-4</v>
      </c>
      <c r="I176">
        <v>793</v>
      </c>
      <c r="J176" s="13">
        <f>Messdaten!W176-Messdaten!F176</f>
        <v>2660.2218700000003</v>
      </c>
      <c r="K176">
        <f t="shared" si="28"/>
        <v>1.1086817153535584E-2</v>
      </c>
      <c r="L176">
        <f t="shared" si="23"/>
        <v>4.1329266830140846E-4</v>
      </c>
      <c r="M176">
        <v>573</v>
      </c>
      <c r="N176" s="13">
        <f>Messdaten!Z176-Messdaten!L176</f>
        <v>89370.928870000003</v>
      </c>
      <c r="O176">
        <f t="shared" si="24"/>
        <v>0.13032594877847398</v>
      </c>
      <c r="P176">
        <f t="shared" si="25"/>
        <v>32487.438497602121</v>
      </c>
      <c r="Q176">
        <v>653</v>
      </c>
      <c r="R176">
        <f>Messdaten!AE176-Messdaten!C176</f>
        <v>29732.08971</v>
      </c>
      <c r="S176">
        <f t="shared" si="26"/>
        <v>0.28951984986683577</v>
      </c>
      <c r="U176">
        <v>653</v>
      </c>
      <c r="V176">
        <f>Messdaten!AH176-Messdaten!C176</f>
        <v>12804.9208</v>
      </c>
      <c r="W176">
        <f t="shared" si="27"/>
        <v>0.13278105523752462</v>
      </c>
      <c r="Y176" s="14">
        <f>A176</f>
        <v>653</v>
      </c>
      <c r="Z176">
        <f>D176*P256*Y176^4</f>
        <v>7523308471968.1445</v>
      </c>
      <c r="AA176">
        <f>(Z176+Z177)/2*(Y177-Y176)</f>
        <v>6600562419640.0996</v>
      </c>
    </row>
    <row r="177" spans="1:27" x14ac:dyDescent="0.2">
      <c r="A177">
        <v>654</v>
      </c>
      <c r="B177" s="13">
        <f>Messdaten!Q177-Messdaten!C177</f>
        <v>957.96971000000008</v>
      </c>
      <c r="C177">
        <f t="shared" si="20"/>
        <v>1.4448285933959346E-2</v>
      </c>
      <c r="D177">
        <f t="shared" si="21"/>
        <v>1.6060157486895541E-4</v>
      </c>
      <c r="I177">
        <v>794</v>
      </c>
      <c r="J177" s="13">
        <f>Messdaten!W177-Messdaten!F177</f>
        <v>1601.4111599999999</v>
      </c>
      <c r="K177">
        <f t="shared" si="28"/>
        <v>3.275964528235609E-3</v>
      </c>
      <c r="L177">
        <f t="shared" si="23"/>
        <v>2.487955981521397E-4</v>
      </c>
      <c r="M177">
        <v>574</v>
      </c>
      <c r="N177" s="13">
        <f>Messdaten!Z177-Messdaten!L177</f>
        <v>94896.28048999999</v>
      </c>
      <c r="O177">
        <f t="shared" si="24"/>
        <v>0.13835660968927285</v>
      </c>
      <c r="P177">
        <f t="shared" si="25"/>
        <v>34495.972180780969</v>
      </c>
      <c r="Q177">
        <v>654</v>
      </c>
      <c r="R177">
        <f>Messdaten!AE177-Messdaten!C177</f>
        <v>32173.536479999999</v>
      </c>
      <c r="S177">
        <f t="shared" si="26"/>
        <v>0.3131794606493683</v>
      </c>
      <c r="U177">
        <v>654</v>
      </c>
      <c r="V177">
        <f>Messdaten!AH177-Messdaten!C177</f>
        <v>13774.859759999999</v>
      </c>
      <c r="W177">
        <f t="shared" si="27"/>
        <v>0.14246217617507062</v>
      </c>
      <c r="Y177" s="14">
        <f>A177</f>
        <v>654</v>
      </c>
      <c r="Z177">
        <f>D177*P257*Y177^4</f>
        <v>5677816367312.0547</v>
      </c>
      <c r="AA177">
        <f>(Z177+Z178)/2*(Y178-Y177)</f>
        <v>5749477025980.8145</v>
      </c>
    </row>
    <row r="178" spans="1:27" x14ac:dyDescent="0.2">
      <c r="A178">
        <v>655</v>
      </c>
      <c r="B178" s="13">
        <f>Messdaten!Q178-Messdaten!C178</f>
        <v>1025.4064100000001</v>
      </c>
      <c r="C178">
        <f t="shared" si="20"/>
        <v>1.5006557748172675E-2</v>
      </c>
      <c r="D178">
        <f t="shared" si="21"/>
        <v>1.7190719352360502E-4</v>
      </c>
      <c r="I178">
        <v>795</v>
      </c>
      <c r="J178" s="13">
        <f>Messdaten!W178-Messdaten!F178</f>
        <v>1651.2092799999998</v>
      </c>
      <c r="K178">
        <f t="shared" si="28"/>
        <v>3.6433255424975471E-3</v>
      </c>
      <c r="L178">
        <f t="shared" si="23"/>
        <v>2.565322452804462E-4</v>
      </c>
      <c r="M178">
        <v>575</v>
      </c>
      <c r="N178" s="13">
        <f>Messdaten!Z178-Messdaten!L178</f>
        <v>97892.549749999991</v>
      </c>
      <c r="O178">
        <f t="shared" si="24"/>
        <v>0.14271144972106622</v>
      </c>
      <c r="P178">
        <f t="shared" si="25"/>
        <v>35585.153131871892</v>
      </c>
      <c r="Q178">
        <v>655</v>
      </c>
      <c r="R178">
        <f>Messdaten!AE178-Messdaten!C178</f>
        <v>33480.271119999998</v>
      </c>
      <c r="S178">
        <f t="shared" si="26"/>
        <v>0.3258427852642452</v>
      </c>
      <c r="U178">
        <v>655</v>
      </c>
      <c r="V178">
        <f>Messdaten!AH178-Messdaten!C178</f>
        <v>14187.52377</v>
      </c>
      <c r="W178">
        <f t="shared" si="27"/>
        <v>0.1465810438070943</v>
      </c>
      <c r="Y178" s="14">
        <f>A178</f>
        <v>655</v>
      </c>
      <c r="Z178">
        <f>D178*P258*Y178^4</f>
        <v>5821137684649.5732</v>
      </c>
      <c r="AA178">
        <f>(Z178+Z179)/2*(Y179-Y178)</f>
        <v>6023783773845.4434</v>
      </c>
    </row>
    <row r="179" spans="1:27" x14ac:dyDescent="0.2">
      <c r="A179">
        <v>656</v>
      </c>
      <c r="B179" s="13">
        <f>Messdaten!Q179-Messdaten!C179</f>
        <v>1163.1317100000001</v>
      </c>
      <c r="C179">
        <f t="shared" si="20"/>
        <v>1.6146710707823354E-2</v>
      </c>
      <c r="D179">
        <f t="shared" si="21"/>
        <v>1.9499654577389628E-4</v>
      </c>
      <c r="I179">
        <v>796</v>
      </c>
      <c r="J179" s="13">
        <f>Messdaten!W179-Messdaten!F179</f>
        <v>3606.6210000000001</v>
      </c>
      <c r="K179">
        <f t="shared" si="28"/>
        <v>1.8068408914297156E-2</v>
      </c>
      <c r="L179">
        <f t="shared" si="23"/>
        <v>5.6032545008807627E-4</v>
      </c>
      <c r="M179">
        <v>576</v>
      </c>
      <c r="N179" s="13">
        <f>Messdaten!Z179-Messdaten!L179</f>
        <v>101401.71217</v>
      </c>
      <c r="O179">
        <f t="shared" si="24"/>
        <v>0.14781173933411684</v>
      </c>
      <c r="P179">
        <f t="shared" si="25"/>
        <v>36860.777093033561</v>
      </c>
      <c r="Q179">
        <v>656</v>
      </c>
      <c r="R179">
        <f>Messdaten!AE179-Messdaten!C179</f>
        <v>35685.663979999998</v>
      </c>
      <c r="S179">
        <f t="shared" si="26"/>
        <v>0.34721484110070167</v>
      </c>
      <c r="U179">
        <v>656</v>
      </c>
      <c r="V179">
        <f>Messdaten!AH179-Messdaten!C179</f>
        <v>14395.611780000001</v>
      </c>
      <c r="W179">
        <f t="shared" si="27"/>
        <v>0.14865800459900155</v>
      </c>
      <c r="Y179" s="14">
        <f>A179</f>
        <v>656</v>
      </c>
      <c r="Z179">
        <f>D179*P259*Y179^4</f>
        <v>6226429863041.3135</v>
      </c>
      <c r="AA179">
        <f>(Z179+Z180)/2*(Y180-Y179)</f>
        <v>5247284073071.1982</v>
      </c>
    </row>
    <row r="180" spans="1:27" x14ac:dyDescent="0.2">
      <c r="A180">
        <v>657</v>
      </c>
      <c r="B180" s="13">
        <f>Messdaten!Q180-Messdaten!C180</f>
        <v>854.87454000000002</v>
      </c>
      <c r="C180">
        <f t="shared" si="20"/>
        <v>1.3594817012844708E-2</v>
      </c>
      <c r="D180">
        <f t="shared" si="21"/>
        <v>1.4331788991467571E-4</v>
      </c>
      <c r="I180">
        <v>797</v>
      </c>
      <c r="J180" s="13">
        <f>Messdaten!W180-Messdaten!F180</f>
        <v>2521.9586900000004</v>
      </c>
      <c r="K180">
        <f t="shared" si="28"/>
        <v>1.0066848888872562E-2</v>
      </c>
      <c r="L180">
        <f t="shared" si="23"/>
        <v>3.9181206954592274E-4</v>
      </c>
      <c r="M180">
        <v>577</v>
      </c>
      <c r="N180" s="13">
        <f>Messdaten!Z180-Messdaten!L180</f>
        <v>106028.42228</v>
      </c>
      <c r="O180">
        <f t="shared" si="24"/>
        <v>0.15453629599246305</v>
      </c>
      <c r="P180">
        <f t="shared" si="25"/>
        <v>38542.643467763774</v>
      </c>
      <c r="Q180">
        <v>657</v>
      </c>
      <c r="R180">
        <f>Messdaten!AE180-Messdaten!C180</f>
        <v>36827.200209999995</v>
      </c>
      <c r="S180">
        <f t="shared" si="26"/>
        <v>0.35827725836403584</v>
      </c>
      <c r="U180">
        <v>657</v>
      </c>
      <c r="V180">
        <f>Messdaten!AH180-Messdaten!C180</f>
        <v>15700.49431</v>
      </c>
      <c r="W180">
        <f t="shared" si="27"/>
        <v>0.16168225262201219</v>
      </c>
      <c r="Y180" s="14">
        <f>A180</f>
        <v>657</v>
      </c>
      <c r="Z180">
        <f>D180*P260*Y180^4</f>
        <v>4268138283101.0825</v>
      </c>
      <c r="AA180">
        <f>(Z180+Z181)/2*(Y181-Y180)</f>
        <v>4412783578394.9219</v>
      </c>
    </row>
    <row r="181" spans="1:27" x14ac:dyDescent="0.2">
      <c r="A181">
        <v>658</v>
      </c>
      <c r="B181" s="13">
        <f>Messdaten!Q181-Messdaten!C181</f>
        <v>967.11800999999991</v>
      </c>
      <c r="C181">
        <f t="shared" si="20"/>
        <v>1.4524019741188462E-2</v>
      </c>
      <c r="D181">
        <f t="shared" si="21"/>
        <v>1.6213526781564956E-4</v>
      </c>
      <c r="I181">
        <v>798</v>
      </c>
      <c r="J181" s="13">
        <f>Messdaten!W181-Messdaten!F181</f>
        <v>2609.63051</v>
      </c>
      <c r="K181">
        <f t="shared" si="28"/>
        <v>1.0713604403285355E-2</v>
      </c>
      <c r="L181">
        <f t="shared" si="23"/>
        <v>4.0543278322821444E-4</v>
      </c>
      <c r="M181">
        <v>578</v>
      </c>
      <c r="N181" s="13">
        <f>Messdaten!Z181-Messdaten!L181</f>
        <v>110746.37680999999</v>
      </c>
      <c r="O181">
        <f t="shared" si="24"/>
        <v>0.16139346918771347</v>
      </c>
      <c r="P181">
        <f t="shared" si="25"/>
        <v>40257.678318199454</v>
      </c>
      <c r="Q181">
        <v>658</v>
      </c>
      <c r="R181">
        <f>Messdaten!AE181-Messdaten!C181</f>
        <v>38897.347739999997</v>
      </c>
      <c r="S181">
        <f t="shared" si="26"/>
        <v>0.37833867662801918</v>
      </c>
      <c r="U181">
        <v>658</v>
      </c>
      <c r="V181">
        <f>Messdaten!AH181-Messdaten!C181</f>
        <v>16393.494580000002</v>
      </c>
      <c r="W181">
        <f t="shared" si="27"/>
        <v>0.16859920276042303</v>
      </c>
      <c r="Y181" s="14">
        <f>A181</f>
        <v>658</v>
      </c>
      <c r="Z181">
        <f>D181*P261*Y181^4</f>
        <v>4557428873688.7607</v>
      </c>
      <c r="AA181">
        <f>(Z181+Z182)/2*(Y182-Y181)</f>
        <v>4431921566293.5879</v>
      </c>
    </row>
    <row r="182" spans="1:27" x14ac:dyDescent="0.2">
      <c r="A182">
        <v>659</v>
      </c>
      <c r="B182" s="13">
        <f>Messdaten!Q182-Messdaten!C182</f>
        <v>1002.09608</v>
      </c>
      <c r="C182">
        <f t="shared" si="20"/>
        <v>1.481358418601718E-2</v>
      </c>
      <c r="D182">
        <f t="shared" si="21"/>
        <v>1.6799926650917462E-4</v>
      </c>
      <c r="I182">
        <v>799</v>
      </c>
      <c r="J182" s="13">
        <f>Messdaten!W182-Messdaten!F182</f>
        <v>1836.6897300000001</v>
      </c>
      <c r="K182">
        <f t="shared" si="28"/>
        <v>5.0116158763045425E-3</v>
      </c>
      <c r="L182">
        <f t="shared" si="23"/>
        <v>2.8534852972751982E-4</v>
      </c>
      <c r="M182">
        <v>579</v>
      </c>
      <c r="N182" s="13">
        <f>Messdaten!Z182-Messdaten!L182</f>
        <v>114129.72518000001</v>
      </c>
      <c r="O182">
        <f t="shared" si="24"/>
        <v>0.16631089804495139</v>
      </c>
      <c r="P182">
        <f t="shared" si="25"/>
        <v>41487.567315394772</v>
      </c>
      <c r="Q182">
        <v>659</v>
      </c>
      <c r="R182">
        <f>Messdaten!AE182-Messdaten!C182</f>
        <v>39978.290289999997</v>
      </c>
      <c r="S182">
        <f t="shared" si="26"/>
        <v>0.38881389170357789</v>
      </c>
      <c r="U182">
        <v>659</v>
      </c>
      <c r="V182">
        <f>Messdaten!AH182-Messdaten!C182</f>
        <v>16715.997530000001</v>
      </c>
      <c r="W182">
        <f t="shared" si="27"/>
        <v>0.17181815796319716</v>
      </c>
      <c r="Y182" s="14">
        <f>A182</f>
        <v>659</v>
      </c>
      <c r="Z182">
        <f>D182*P262*Y182^4</f>
        <v>4306414258898.416</v>
      </c>
      <c r="AA182">
        <f>(Z182+Z183)/2*(Y183-Y182)</f>
        <v>3831905922605.3281</v>
      </c>
    </row>
    <row r="183" spans="1:27" x14ac:dyDescent="0.2">
      <c r="A183">
        <v>660</v>
      </c>
      <c r="B183" s="13">
        <f>Messdaten!Q183-Messdaten!C183</f>
        <v>841.01576999999997</v>
      </c>
      <c r="C183">
        <f t="shared" si="20"/>
        <v>1.3480087782756858E-2</v>
      </c>
      <c r="D183">
        <f t="shared" si="21"/>
        <v>1.4099449673792626E-4</v>
      </c>
      <c r="I183">
        <v>800</v>
      </c>
      <c r="J183" s="13">
        <f>Messdaten!W183-Messdaten!F183</f>
        <v>2946.10241</v>
      </c>
      <c r="K183">
        <f t="shared" si="28"/>
        <v>1.3195759521885042E-2</v>
      </c>
      <c r="L183">
        <f t="shared" si="23"/>
        <v>4.577071333219698E-4</v>
      </c>
      <c r="M183">
        <v>580</v>
      </c>
      <c r="N183" s="13">
        <f>Messdaten!Z183-Messdaten!L183</f>
        <v>121444.06645000001</v>
      </c>
      <c r="O183">
        <f t="shared" si="24"/>
        <v>0.17694171370428713</v>
      </c>
      <c r="P183">
        <f t="shared" si="25"/>
        <v>44146.420872855822</v>
      </c>
      <c r="Q183">
        <v>660</v>
      </c>
      <c r="R183">
        <f>Messdaten!AE183-Messdaten!C183</f>
        <v>40922.1639</v>
      </c>
      <c r="S183">
        <f t="shared" si="26"/>
        <v>0.39796079693817532</v>
      </c>
      <c r="U183">
        <v>660</v>
      </c>
      <c r="V183">
        <f>Messdaten!AH183-Messdaten!C183</f>
        <v>17185.616290000002</v>
      </c>
      <c r="W183">
        <f t="shared" si="27"/>
        <v>0.17650550036059959</v>
      </c>
      <c r="Y183" s="14">
        <f>A183</f>
        <v>660</v>
      </c>
      <c r="Z183">
        <f>D183*P263*Y183^4</f>
        <v>3357397586312.2407</v>
      </c>
    </row>
    <row r="184" spans="1:27" x14ac:dyDescent="0.2">
      <c r="A184">
        <v>661</v>
      </c>
      <c r="B184" s="13">
        <f>Messdaten!Q184-Messdaten!C184</f>
        <v>781.02418</v>
      </c>
      <c r="C184">
        <f t="shared" si="20"/>
        <v>1.2983449990770564E-2</v>
      </c>
      <c r="D184">
        <f t="shared" si="21"/>
        <v>1.3093703486588787E-4</v>
      </c>
      <c r="M184">
        <v>581</v>
      </c>
      <c r="N184" s="13">
        <f>Messdaten!Z184-Messdaten!L184</f>
        <v>126305.80860999999</v>
      </c>
      <c r="O184">
        <f t="shared" si="24"/>
        <v>0.18400787083017422</v>
      </c>
      <c r="P184">
        <f t="shared" si="25"/>
        <v>45913.724305988399</v>
      </c>
      <c r="Q184">
        <v>661</v>
      </c>
      <c r="R184">
        <f>Messdaten!AE184-Messdaten!C184</f>
        <v>42476.249489999995</v>
      </c>
      <c r="S184">
        <f t="shared" si="26"/>
        <v>0.41302115403215461</v>
      </c>
      <c r="U184">
        <v>661</v>
      </c>
      <c r="V184">
        <f>Messdaten!AH184-Messdaten!C184</f>
        <v>17605.781500000001</v>
      </c>
      <c r="W184">
        <f t="shared" si="27"/>
        <v>0.1806992387085874</v>
      </c>
    </row>
    <row r="185" spans="1:27" x14ac:dyDescent="0.2">
      <c r="A185">
        <v>662</v>
      </c>
      <c r="B185" s="13">
        <f>Messdaten!Q185-Messdaten!C185</f>
        <v>763.98982000000001</v>
      </c>
      <c r="C185">
        <f t="shared" si="20"/>
        <v>1.2842431775745762E-2</v>
      </c>
      <c r="D185">
        <f t="shared" si="21"/>
        <v>1.2808126081131498E-4</v>
      </c>
      <c r="M185">
        <v>582</v>
      </c>
      <c r="N185" s="13">
        <f>Messdaten!Z185-Messdaten!L185</f>
        <v>132470.65556000001</v>
      </c>
      <c r="O185">
        <f t="shared" si="24"/>
        <v>0.19296798754803532</v>
      </c>
      <c r="P185">
        <f t="shared" si="25"/>
        <v>48154.722454576353</v>
      </c>
      <c r="Q185">
        <v>662</v>
      </c>
      <c r="R185">
        <f>Messdaten!AE185-Messdaten!C185</f>
        <v>42911.26786</v>
      </c>
      <c r="S185">
        <f t="shared" si="26"/>
        <v>0.41723683689852809</v>
      </c>
      <c r="U185">
        <v>662</v>
      </c>
      <c r="V185">
        <f>Messdaten!AH185-Messdaten!C185</f>
        <v>17815.173880000002</v>
      </c>
      <c r="W185">
        <f t="shared" si="27"/>
        <v>0.18278921863287109</v>
      </c>
      <c r="Y185" s="2"/>
    </row>
    <row r="186" spans="1:27" x14ac:dyDescent="0.2">
      <c r="A186">
        <v>663</v>
      </c>
      <c r="B186" s="13">
        <f>Messdaten!Q186-Messdaten!C186</f>
        <v>866.70057999999995</v>
      </c>
      <c r="C186">
        <f t="shared" si="20"/>
        <v>1.3692718375244696E-2</v>
      </c>
      <c r="D186">
        <f t="shared" si="21"/>
        <v>1.4530050025051111E-4</v>
      </c>
      <c r="M186">
        <v>583</v>
      </c>
      <c r="N186" s="13">
        <f>Messdaten!Z186-Messdaten!L186</f>
        <v>139212.50548999998</v>
      </c>
      <c r="O186">
        <f t="shared" si="24"/>
        <v>0.20276673239231782</v>
      </c>
      <c r="P186">
        <f t="shared" si="25"/>
        <v>50605.468326083785</v>
      </c>
      <c r="Q186">
        <v>663</v>
      </c>
      <c r="R186">
        <f>Messdaten!AE186-Messdaten!C186</f>
        <v>43759.28772</v>
      </c>
      <c r="S186">
        <f t="shared" si="26"/>
        <v>0.42545484110406634</v>
      </c>
      <c r="U186">
        <v>663</v>
      </c>
      <c r="V186">
        <f>Messdaten!AH186-Messdaten!C186</f>
        <v>18018.391919999998</v>
      </c>
      <c r="W186">
        <f t="shared" si="27"/>
        <v>0.18481757144997107</v>
      </c>
    </row>
    <row r="187" spans="1:27" x14ac:dyDescent="0.2">
      <c r="A187">
        <v>664</v>
      </c>
      <c r="B187" s="13">
        <f>Messdaten!Q187-Messdaten!C187</f>
        <v>902.15820000000008</v>
      </c>
      <c r="C187">
        <f t="shared" si="20"/>
        <v>1.3986252754078282E-2</v>
      </c>
      <c r="D187">
        <f t="shared" si="21"/>
        <v>1.5124489447682229E-4</v>
      </c>
      <c r="M187">
        <v>584</v>
      </c>
      <c r="N187" s="13">
        <f>Messdaten!Z187-Messdaten!L187</f>
        <v>144275.22803000003</v>
      </c>
      <c r="O187">
        <f t="shared" si="24"/>
        <v>0.21012499858066924</v>
      </c>
      <c r="P187">
        <f t="shared" si="25"/>
        <v>52445.830614226979</v>
      </c>
      <c r="Q187">
        <v>664</v>
      </c>
      <c r="R187">
        <f>Messdaten!AE187-Messdaten!C187</f>
        <v>44086.031510000001</v>
      </c>
      <c r="S187">
        <f t="shared" si="26"/>
        <v>0.42862125496653591</v>
      </c>
      <c r="U187">
        <v>664</v>
      </c>
      <c r="V187">
        <f>Messdaten!AH187-Messdaten!C187</f>
        <v>18264.987240000002</v>
      </c>
      <c r="W187">
        <f t="shared" si="27"/>
        <v>0.18727888006216756</v>
      </c>
      <c r="Y187" s="2"/>
    </row>
    <row r="188" spans="1:27" x14ac:dyDescent="0.2">
      <c r="A188">
        <v>665</v>
      </c>
      <c r="B188" s="13">
        <f>Messdaten!Q188-Messdaten!C188</f>
        <v>785.14783</v>
      </c>
      <c r="C188">
        <f t="shared" si="20"/>
        <v>1.3017587449553109E-2</v>
      </c>
      <c r="D188">
        <f t="shared" si="21"/>
        <v>1.3162835597687412E-4</v>
      </c>
      <c r="M188">
        <v>585</v>
      </c>
      <c r="N188" s="13">
        <f>Messdaten!Z188-Messdaten!L188</f>
        <v>151355.15031999999</v>
      </c>
      <c r="O188">
        <f t="shared" si="24"/>
        <v>0.2204151048211471</v>
      </c>
      <c r="P188">
        <f t="shared" si="25"/>
        <v>55019.469971816616</v>
      </c>
      <c r="Q188">
        <v>665</v>
      </c>
      <c r="R188">
        <f>Messdaten!AE188-Messdaten!C188</f>
        <v>44052.714660000005</v>
      </c>
      <c r="S188">
        <f t="shared" si="26"/>
        <v>0.42829838751221089</v>
      </c>
      <c r="U188">
        <v>665</v>
      </c>
      <c r="V188">
        <f>Messdaten!AH188-Messdaten!C188</f>
        <v>18275.903719999998</v>
      </c>
      <c r="W188">
        <f t="shared" si="27"/>
        <v>0.18738783925181826</v>
      </c>
    </row>
    <row r="189" spans="1:27" x14ac:dyDescent="0.2">
      <c r="A189">
        <v>666</v>
      </c>
      <c r="B189" s="13">
        <f>Messdaten!Q189-Messdaten!C189</f>
        <v>615.57276000000002</v>
      </c>
      <c r="C189">
        <f t="shared" si="20"/>
        <v>1.1613767541784012E-2</v>
      </c>
      <c r="D189">
        <f t="shared" si="21"/>
        <v>1.0319945784343173E-4</v>
      </c>
      <c r="M189">
        <v>586</v>
      </c>
      <c r="N189" s="13">
        <f>Messdaten!Z189-Messdaten!L189</f>
        <v>156535.84540999998</v>
      </c>
      <c r="O189">
        <f t="shared" si="24"/>
        <v>0.22794483476619459</v>
      </c>
      <c r="P189">
        <f t="shared" si="25"/>
        <v>56902.716741647397</v>
      </c>
      <c r="Q189">
        <v>666</v>
      </c>
      <c r="R189">
        <f>Messdaten!AE189-Messdaten!C189</f>
        <v>44077.408490000002</v>
      </c>
      <c r="S189">
        <f t="shared" si="26"/>
        <v>0.42853769086860966</v>
      </c>
      <c r="U189">
        <v>666</v>
      </c>
      <c r="V189">
        <f>Messdaten!AH189-Messdaten!C189</f>
        <v>18482.244290000002</v>
      </c>
      <c r="W189">
        <f t="shared" si="27"/>
        <v>0.1894473585565096</v>
      </c>
      <c r="Y189" s="2"/>
    </row>
    <row r="190" spans="1:27" x14ac:dyDescent="0.2">
      <c r="A190">
        <v>667</v>
      </c>
      <c r="B190" s="13">
        <f>Messdaten!Q190-Messdaten!C190</f>
        <v>685.99363000000005</v>
      </c>
      <c r="C190">
        <f t="shared" si="20"/>
        <v>1.2196743678715104E-2</v>
      </c>
      <c r="D190">
        <f t="shared" si="21"/>
        <v>1.1500536622193566E-4</v>
      </c>
      <c r="M190">
        <v>587</v>
      </c>
      <c r="N190" s="13">
        <f>Messdaten!Z190-Messdaten!L190</f>
        <v>162173.13993999999</v>
      </c>
      <c r="O190">
        <f t="shared" si="24"/>
        <v>0.23613819582956369</v>
      </c>
      <c r="P190">
        <f t="shared" si="25"/>
        <v>58951.94305776462</v>
      </c>
      <c r="Q190">
        <v>667</v>
      </c>
      <c r="R190">
        <f>Messdaten!AE190-Messdaten!C190</f>
        <v>44466.995779999997</v>
      </c>
      <c r="S190">
        <f t="shared" si="26"/>
        <v>0.43231310950991858</v>
      </c>
      <c r="U190">
        <v>667</v>
      </c>
      <c r="V190">
        <f>Messdaten!AH190-Messdaten!C190</f>
        <v>17920.645820000002</v>
      </c>
      <c r="W190">
        <f t="shared" si="27"/>
        <v>0.18384195148387192</v>
      </c>
    </row>
    <row r="191" spans="1:27" x14ac:dyDescent="0.2">
      <c r="A191">
        <v>668</v>
      </c>
      <c r="B191" s="13">
        <f>Messdaten!Q191-Messdaten!C191</f>
        <v>768.53790000000004</v>
      </c>
      <c r="C191">
        <f t="shared" si="20"/>
        <v>1.2880082859989022E-2</v>
      </c>
      <c r="D191">
        <f t="shared" si="21"/>
        <v>1.2884373670486905E-4</v>
      </c>
      <c r="M191">
        <v>588</v>
      </c>
      <c r="N191" s="13">
        <f>Messdaten!Z191-Messdaten!L191</f>
        <v>167734.94845</v>
      </c>
      <c r="O191">
        <f t="shared" si="24"/>
        <v>0.24422184394218927</v>
      </c>
      <c r="P191">
        <f t="shared" si="25"/>
        <v>60973.729271566845</v>
      </c>
      <c r="Q191">
        <v>668</v>
      </c>
      <c r="R191">
        <f>Messdaten!AE191-Messdaten!C191</f>
        <v>43569.921539999996</v>
      </c>
      <c r="S191">
        <f t="shared" si="26"/>
        <v>0.42361972834665196</v>
      </c>
      <c r="U191">
        <v>668</v>
      </c>
      <c r="V191">
        <f>Messdaten!AH191-Messdaten!C191</f>
        <v>18037.504809999999</v>
      </c>
      <c r="W191">
        <f t="shared" si="27"/>
        <v>0.18500834036140443</v>
      </c>
      <c r="Y191" s="2"/>
    </row>
    <row r="192" spans="1:27" x14ac:dyDescent="0.2">
      <c r="A192">
        <v>669</v>
      </c>
      <c r="B192" s="13">
        <f>Messdaten!Q192-Messdaten!C192</f>
        <v>585.51826000000005</v>
      </c>
      <c r="C192">
        <f t="shared" si="20"/>
        <v>1.1364962658978737E-2</v>
      </c>
      <c r="D192">
        <f t="shared" si="21"/>
        <v>9.8160885139604782E-5</v>
      </c>
      <c r="M192">
        <v>589</v>
      </c>
      <c r="N192" s="13">
        <f>Messdaten!Z192-Messdaten!L192</f>
        <v>173740.02395</v>
      </c>
      <c r="O192">
        <f t="shared" si="24"/>
        <v>0.2529497455131387</v>
      </c>
      <c r="P192">
        <f t="shared" si="25"/>
        <v>63156.648521108124</v>
      </c>
      <c r="Q192">
        <v>669</v>
      </c>
      <c r="R192">
        <f>Messdaten!AE192-Messdaten!C192</f>
        <v>42329.12212</v>
      </c>
      <c r="S192">
        <f t="shared" si="26"/>
        <v>0.41159536979944839</v>
      </c>
      <c r="U192">
        <v>669</v>
      </c>
      <c r="V192">
        <f>Messdaten!AH192-Messdaten!C192</f>
        <v>17906.685710000002</v>
      </c>
      <c r="W192">
        <f t="shared" si="27"/>
        <v>0.18370261332055962</v>
      </c>
    </row>
    <row r="193" spans="1:25" x14ac:dyDescent="0.2">
      <c r="A193">
        <v>670</v>
      </c>
      <c r="B193" s="13">
        <f>Messdaten!Q193-Messdaten!C193</f>
        <v>590.28242999999998</v>
      </c>
      <c r="C193">
        <f t="shared" si="20"/>
        <v>1.1404402634972827E-2</v>
      </c>
      <c r="D193">
        <f t="shared" si="21"/>
        <v>9.8959588059912586E-5</v>
      </c>
      <c r="M193">
        <v>590</v>
      </c>
      <c r="N193" s="13">
        <f>Messdaten!Z193-Messdaten!L193</f>
        <v>180089.9319</v>
      </c>
      <c r="O193">
        <f t="shared" si="24"/>
        <v>0.26217883373562473</v>
      </c>
      <c r="P193">
        <f t="shared" si="25"/>
        <v>65464.918633094254</v>
      </c>
      <c r="Q193">
        <v>670</v>
      </c>
      <c r="R193">
        <f>Messdaten!AE193-Messdaten!C193</f>
        <v>42419.938649999996</v>
      </c>
      <c r="S193">
        <f t="shared" si="26"/>
        <v>0.41247545605765507</v>
      </c>
      <c r="U193">
        <v>670</v>
      </c>
      <c r="V193">
        <f>Messdaten!AH193-Messdaten!C193</f>
        <v>17190.365170000001</v>
      </c>
      <c r="W193">
        <f t="shared" si="27"/>
        <v>0.17655289971611973</v>
      </c>
      <c r="Y193" s="2"/>
    </row>
    <row r="194" spans="1:25" x14ac:dyDescent="0.2">
      <c r="A194">
        <v>671</v>
      </c>
      <c r="B194" s="13">
        <f>Messdaten!Q194-Messdaten!C194</f>
        <v>415.55598999999995</v>
      </c>
      <c r="C194">
        <f t="shared" si="20"/>
        <v>9.9579373326991964E-3</v>
      </c>
      <c r="D194">
        <f t="shared" si="21"/>
        <v>6.966707375354057E-5</v>
      </c>
      <c r="M194">
        <v>591</v>
      </c>
      <c r="N194" s="13">
        <f>Messdaten!Z194-Messdaten!L194</f>
        <v>183820.53083999999</v>
      </c>
      <c r="O194">
        <f t="shared" si="24"/>
        <v>0.26760096379027737</v>
      </c>
      <c r="P194">
        <f t="shared" si="25"/>
        <v>66821.037509275615</v>
      </c>
      <c r="Q194">
        <v>671</v>
      </c>
      <c r="R194">
        <f>Messdaten!AE194-Messdaten!C194</f>
        <v>39825.815750000002</v>
      </c>
      <c r="S194">
        <f t="shared" si="26"/>
        <v>0.38733628903168121</v>
      </c>
      <c r="U194">
        <v>671</v>
      </c>
      <c r="V194">
        <f>Messdaten!AH194-Messdaten!C194</f>
        <v>16587.454720000002</v>
      </c>
      <c r="W194">
        <f t="shared" si="27"/>
        <v>0.17053515094875371</v>
      </c>
    </row>
    <row r="195" spans="1:25" x14ac:dyDescent="0.2">
      <c r="A195">
        <v>672</v>
      </c>
      <c r="B195" s="13">
        <f>Messdaten!Q195-Messdaten!C195</f>
        <v>487.89333000000005</v>
      </c>
      <c r="C195">
        <f t="shared" ref="C195:C258" si="29">(B195-MIN(B:B))/(MAX(B:B)-MIN(B:B))</f>
        <v>1.0556778883919324E-2</v>
      </c>
      <c r="D195">
        <f t="shared" si="21"/>
        <v>8.179427423238567E-5</v>
      </c>
      <c r="M195">
        <v>592</v>
      </c>
      <c r="N195" s="13">
        <f>Messdaten!Z195-Messdaten!L195</f>
        <v>189341.23667000001</v>
      </c>
      <c r="O195">
        <f t="shared" si="24"/>
        <v>0.27562487241330919</v>
      </c>
      <c r="P195">
        <f t="shared" si="25"/>
        <v>68827.882390303639</v>
      </c>
      <c r="Q195">
        <v>672</v>
      </c>
      <c r="R195">
        <f>Messdaten!AE195-Messdaten!C195</f>
        <v>39402.350030000001</v>
      </c>
      <c r="S195">
        <f t="shared" si="26"/>
        <v>0.38323256076774492</v>
      </c>
      <c r="U195">
        <v>672</v>
      </c>
      <c r="V195">
        <f>Messdaten!AH195-Messdaten!C195</f>
        <v>16264.171440000002</v>
      </c>
      <c r="W195">
        <f t="shared" si="27"/>
        <v>0.16730840714338421</v>
      </c>
      <c r="Y195" s="2"/>
    </row>
    <row r="196" spans="1:25" x14ac:dyDescent="0.2">
      <c r="A196">
        <v>673</v>
      </c>
      <c r="B196" s="13">
        <f>Messdaten!Q196-Messdaten!C196</f>
        <v>619.66609999999991</v>
      </c>
      <c r="C196">
        <f t="shared" si="29"/>
        <v>1.1647654080538012E-2</v>
      </c>
      <c r="D196">
        <f t="shared" ref="D196:D259" si="30">B196/SUM(B:B)</f>
        <v>1.0388569754768509E-4</v>
      </c>
      <c r="M196">
        <v>593</v>
      </c>
      <c r="N196" s="13">
        <f>Messdaten!Z196-Messdaten!L196</f>
        <v>194544.18745</v>
      </c>
      <c r="O196">
        <f t="shared" ref="O196:O259" si="31">(N196-MIN(N:N))/(MAX(N:N)-MIN(N:N))</f>
        <v>0.28318694924087523</v>
      </c>
      <c r="P196">
        <f t="shared" ref="P196:P259" si="32">N196/MAX(N:N)*250000</f>
        <v>70719.219378835725</v>
      </c>
      <c r="Q196">
        <v>673</v>
      </c>
      <c r="R196">
        <f>Messdaten!AE196-Messdaten!C196</f>
        <v>37665.697169999999</v>
      </c>
      <c r="S196">
        <f t="shared" ref="S196:S259" si="33">(R196-MIN(R:R))/(MAX(R:R)-MIN(R:R))</f>
        <v>0.3664029779003814</v>
      </c>
      <c r="U196">
        <v>673</v>
      </c>
      <c r="V196">
        <f>Messdaten!AH196-Messdaten!C196</f>
        <v>15168.187310000001</v>
      </c>
      <c r="W196">
        <f t="shared" ref="W196:W259" si="34">(V196-MIN(V:V))/(MAX(V:V)-MIN(V:V))</f>
        <v>0.15636920854870032</v>
      </c>
    </row>
    <row r="197" spans="1:25" x14ac:dyDescent="0.2">
      <c r="A197">
        <v>674</v>
      </c>
      <c r="B197" s="13">
        <f>Messdaten!Q197-Messdaten!C197</f>
        <v>461.26495000000006</v>
      </c>
      <c r="C197">
        <f t="shared" si="29"/>
        <v>1.0336336987857358E-2</v>
      </c>
      <c r="D197">
        <f t="shared" si="30"/>
        <v>7.7330083225543719E-5</v>
      </c>
      <c r="M197">
        <v>594</v>
      </c>
      <c r="N197" s="13">
        <f>Messdaten!Z197-Messdaten!L197</f>
        <v>198371.86282000001</v>
      </c>
      <c r="O197">
        <f t="shared" si="31"/>
        <v>0.28875017219700749</v>
      </c>
      <c r="P197">
        <f t="shared" si="32"/>
        <v>72110.626738521387</v>
      </c>
      <c r="Q197">
        <v>674</v>
      </c>
      <c r="R197">
        <f>Messdaten!AE197-Messdaten!C197</f>
        <v>36484.104500000001</v>
      </c>
      <c r="S197">
        <f t="shared" si="33"/>
        <v>0.35495238105788163</v>
      </c>
      <c r="U197">
        <v>674</v>
      </c>
      <c r="V197">
        <f>Messdaten!AH197-Messdaten!C197</f>
        <v>15256.057709999999</v>
      </c>
      <c r="W197">
        <f t="shared" si="34"/>
        <v>0.15724625752220533</v>
      </c>
      <c r="Y197" s="2"/>
    </row>
    <row r="198" spans="1:25" x14ac:dyDescent="0.2">
      <c r="A198">
        <v>675</v>
      </c>
      <c r="B198" s="13">
        <f>Messdaten!Q198-Messdaten!C198</f>
        <v>473.44425000000001</v>
      </c>
      <c r="C198">
        <f t="shared" si="29"/>
        <v>1.0437162797940715E-2</v>
      </c>
      <c r="D198">
        <f t="shared" si="30"/>
        <v>7.9371916845524736E-5</v>
      </c>
      <c r="M198">
        <v>595</v>
      </c>
      <c r="N198" s="13">
        <f>Messdaten!Z198-Messdaten!L198</f>
        <v>201351.73106000002</v>
      </c>
      <c r="O198">
        <f t="shared" si="31"/>
        <v>0.29308117464537281</v>
      </c>
      <c r="P198">
        <f t="shared" si="32"/>
        <v>73193.845715900228</v>
      </c>
      <c r="Q198">
        <v>675</v>
      </c>
      <c r="R198">
        <f>Messdaten!AE198-Messdaten!C198</f>
        <v>35359.458700000003</v>
      </c>
      <c r="S198">
        <f t="shared" si="33"/>
        <v>0.34405364583941528</v>
      </c>
      <c r="U198">
        <v>675</v>
      </c>
      <c r="V198">
        <f>Messdaten!AH198-Messdaten!C198</f>
        <v>14662.503720000001</v>
      </c>
      <c r="W198">
        <f t="shared" si="34"/>
        <v>0.15132189712724503</v>
      </c>
    </row>
    <row r="199" spans="1:25" x14ac:dyDescent="0.2">
      <c r="A199">
        <v>676</v>
      </c>
      <c r="B199" s="13">
        <f>Messdaten!Q199-Messdaten!C199</f>
        <v>476.83976999999999</v>
      </c>
      <c r="C199">
        <f t="shared" si="29"/>
        <v>1.0465272463902983E-2</v>
      </c>
      <c r="D199">
        <f t="shared" si="30"/>
        <v>7.9941168517896536E-5</v>
      </c>
      <c r="M199">
        <v>596</v>
      </c>
      <c r="N199" s="13">
        <f>Messdaten!Z199-Messdaten!L199</f>
        <v>200632.76274000001</v>
      </c>
      <c r="O199">
        <f t="shared" si="31"/>
        <v>0.29203621114248413</v>
      </c>
      <c r="P199">
        <f t="shared" si="32"/>
        <v>72932.491835247376</v>
      </c>
      <c r="Q199">
        <v>676</v>
      </c>
      <c r="R199">
        <f>Messdaten!AE199-Messdaten!C199</f>
        <v>33691.655769999998</v>
      </c>
      <c r="S199">
        <f t="shared" si="33"/>
        <v>0.32789127495726517</v>
      </c>
      <c r="U199">
        <v>676</v>
      </c>
      <c r="V199">
        <f>Messdaten!AH199-Messdaten!C199</f>
        <v>14095.278260000001</v>
      </c>
      <c r="W199">
        <f t="shared" si="34"/>
        <v>0.14566032613816429</v>
      </c>
      <c r="Y199" s="2"/>
    </row>
    <row r="200" spans="1:25" x14ac:dyDescent="0.2">
      <c r="A200">
        <v>677</v>
      </c>
      <c r="B200" s="13">
        <f>Messdaten!Q200-Messdaten!C200</f>
        <v>530.86733000000004</v>
      </c>
      <c r="C200">
        <f t="shared" si="29"/>
        <v>1.0912537290602977E-2</v>
      </c>
      <c r="D200">
        <f t="shared" si="30"/>
        <v>8.8998773504516613E-5</v>
      </c>
      <c r="M200">
        <v>597</v>
      </c>
      <c r="N200" s="13">
        <f>Messdaten!Z200-Messdaten!L200</f>
        <v>207654.75594999999</v>
      </c>
      <c r="O200">
        <f t="shared" si="31"/>
        <v>0.30224212205380491</v>
      </c>
      <c r="P200">
        <f t="shared" si="32"/>
        <v>75485.073255457188</v>
      </c>
      <c r="Q200">
        <v>677</v>
      </c>
      <c r="R200">
        <f>Messdaten!AE200-Messdaten!C200</f>
        <v>32649.371940000001</v>
      </c>
      <c r="S200">
        <f t="shared" si="33"/>
        <v>0.31779069441389857</v>
      </c>
      <c r="U200">
        <v>677</v>
      </c>
      <c r="V200">
        <f>Messdaten!AH200-Messdaten!C200</f>
        <v>13942.35505</v>
      </c>
      <c r="W200">
        <f t="shared" si="34"/>
        <v>0.14413397432508962</v>
      </c>
    </row>
    <row r="201" spans="1:25" x14ac:dyDescent="0.2">
      <c r="A201">
        <v>678</v>
      </c>
      <c r="B201" s="13">
        <f>Messdaten!Q201-Messdaten!C201</f>
        <v>612.92201999999997</v>
      </c>
      <c r="C201">
        <f t="shared" si="29"/>
        <v>1.1591823504949353E-2</v>
      </c>
      <c r="D201">
        <f t="shared" si="30"/>
        <v>1.0275506694659623E-4</v>
      </c>
      <c r="M201">
        <v>598</v>
      </c>
      <c r="N201" s="13">
        <f>Messdaten!Z201-Messdaten!L201</f>
        <v>207567.82308</v>
      </c>
      <c r="O201">
        <f t="shared" si="31"/>
        <v>0.30211577201330336</v>
      </c>
      <c r="P201">
        <f t="shared" si="32"/>
        <v>75453.47208152675</v>
      </c>
      <c r="Q201">
        <v>678</v>
      </c>
      <c r="R201">
        <f>Messdaten!AE201-Messdaten!C201</f>
        <v>31299.013600000002</v>
      </c>
      <c r="S201">
        <f t="shared" si="33"/>
        <v>0.30470462056050601</v>
      </c>
      <c r="U201">
        <v>678</v>
      </c>
      <c r="V201">
        <f>Messdaten!AH201-Messdaten!C201</f>
        <v>13386.58466</v>
      </c>
      <c r="W201">
        <f t="shared" si="34"/>
        <v>0.13858673828139351</v>
      </c>
      <c r="Y201" s="2"/>
    </row>
    <row r="202" spans="1:25" x14ac:dyDescent="0.2">
      <c r="A202">
        <v>679</v>
      </c>
      <c r="B202" s="13">
        <f>Messdaten!Q202-Messdaten!C202</f>
        <v>365.09334000000001</v>
      </c>
      <c r="C202">
        <f t="shared" si="29"/>
        <v>9.5401844597752215E-3</v>
      </c>
      <c r="D202">
        <f t="shared" si="30"/>
        <v>6.1207118310835723E-5</v>
      </c>
      <c r="M202">
        <v>599</v>
      </c>
      <c r="N202" s="13">
        <f>Messdaten!Z202-Messdaten!L202</f>
        <v>208213.06694999998</v>
      </c>
      <c r="O202">
        <f t="shared" si="31"/>
        <v>0.30305358286790762</v>
      </c>
      <c r="P202">
        <f t="shared" si="32"/>
        <v>75688.026212356825</v>
      </c>
      <c r="Q202">
        <v>679</v>
      </c>
      <c r="R202">
        <f>Messdaten!AE202-Messdaten!C202</f>
        <v>30024.391919999998</v>
      </c>
      <c r="S202">
        <f t="shared" si="33"/>
        <v>0.2923524967237951</v>
      </c>
      <c r="U202">
        <v>679</v>
      </c>
      <c r="V202">
        <f>Messdaten!AH202-Messdaten!C202</f>
        <v>12311.760689999999</v>
      </c>
      <c r="W202">
        <f t="shared" si="34"/>
        <v>0.12785874273810352</v>
      </c>
    </row>
    <row r="203" spans="1:25" x14ac:dyDescent="0.2">
      <c r="A203">
        <v>680</v>
      </c>
      <c r="B203" s="13">
        <f>Messdaten!Q203-Messdaten!C203</f>
        <v>483.15739000000002</v>
      </c>
      <c r="C203">
        <f t="shared" si="29"/>
        <v>1.051757260876343E-2</v>
      </c>
      <c r="D203">
        <f t="shared" si="30"/>
        <v>8.1000304011255315E-5</v>
      </c>
      <c r="M203">
        <v>600</v>
      </c>
      <c r="N203" s="13">
        <f>Messdaten!Z203-Messdaten!L203</f>
        <v>211958.57882</v>
      </c>
      <c r="O203">
        <f t="shared" si="31"/>
        <v>0.30849738768504653</v>
      </c>
      <c r="P203">
        <f t="shared" si="32"/>
        <v>77049.566123122044</v>
      </c>
      <c r="Q203">
        <v>680</v>
      </c>
      <c r="R203">
        <f>Messdaten!AE203-Messdaten!C203</f>
        <v>27894.478159999999</v>
      </c>
      <c r="S203">
        <f t="shared" si="33"/>
        <v>0.27171189493751885</v>
      </c>
      <c r="U203">
        <v>680</v>
      </c>
      <c r="V203">
        <f>Messdaten!AH203-Messdaten!C203</f>
        <v>12127.812739999999</v>
      </c>
      <c r="W203">
        <f t="shared" si="34"/>
        <v>0.12602272787159721</v>
      </c>
      <c r="Y203" s="2"/>
    </row>
    <row r="204" spans="1:25" x14ac:dyDescent="0.2">
      <c r="A204">
        <v>681</v>
      </c>
      <c r="B204" s="13">
        <f>Messdaten!Q204-Messdaten!C204</f>
        <v>503.05297999999999</v>
      </c>
      <c r="C204">
        <f t="shared" si="29"/>
        <v>1.0682277393015098E-2</v>
      </c>
      <c r="D204">
        <f t="shared" si="30"/>
        <v>8.4335757161383651E-5</v>
      </c>
      <c r="M204">
        <v>601</v>
      </c>
      <c r="N204" s="13">
        <f>Messdaten!Z204-Messdaten!L204</f>
        <v>209294.46681000001</v>
      </c>
      <c r="O204">
        <f t="shared" si="31"/>
        <v>0.3046253119056056</v>
      </c>
      <c r="P204">
        <f t="shared" si="32"/>
        <v>76081.128442436253</v>
      </c>
      <c r="Q204">
        <v>681</v>
      </c>
      <c r="R204">
        <f>Messdaten!AE204-Messdaten!C204</f>
        <v>27517.244069999997</v>
      </c>
      <c r="S204">
        <f t="shared" si="33"/>
        <v>0.26805618888118615</v>
      </c>
      <c r="U204">
        <v>681</v>
      </c>
      <c r="V204">
        <f>Messdaten!AH204-Messdaten!C204</f>
        <v>11201.156150000001</v>
      </c>
      <c r="W204">
        <f t="shared" si="34"/>
        <v>0.11677361541676398</v>
      </c>
    </row>
    <row r="205" spans="1:25" x14ac:dyDescent="0.2">
      <c r="A205">
        <v>682</v>
      </c>
      <c r="B205" s="13">
        <f>Messdaten!Q205-Messdaten!C205</f>
        <v>315.11818</v>
      </c>
      <c r="C205">
        <f t="shared" si="29"/>
        <v>9.1264672518038721E-3</v>
      </c>
      <c r="D205">
        <f t="shared" si="30"/>
        <v>5.2828889524950602E-5</v>
      </c>
      <c r="M205">
        <v>602</v>
      </c>
      <c r="N205" s="13">
        <f>Messdaten!Z205-Messdaten!L205</f>
        <v>209804.29890999998</v>
      </c>
      <c r="O205">
        <f t="shared" si="31"/>
        <v>0.30536631247862261</v>
      </c>
      <c r="P205">
        <f t="shared" si="32"/>
        <v>76266.458719320202</v>
      </c>
      <c r="Q205">
        <v>682</v>
      </c>
      <c r="R205">
        <f>Messdaten!AE205-Messdaten!C205</f>
        <v>26152.20649</v>
      </c>
      <c r="S205">
        <f t="shared" si="33"/>
        <v>0.25482786121777778</v>
      </c>
      <c r="U205">
        <v>682</v>
      </c>
      <c r="V205">
        <f>Messdaten!AH205-Messdaten!C205</f>
        <v>10397.02594</v>
      </c>
      <c r="W205">
        <f t="shared" si="34"/>
        <v>0.10874745899497813</v>
      </c>
      <c r="Y205" s="2"/>
    </row>
    <row r="206" spans="1:25" x14ac:dyDescent="0.2">
      <c r="A206">
        <v>683</v>
      </c>
      <c r="B206" s="13">
        <f>Messdaten!Q206-Messdaten!C206</f>
        <v>305.60959999999994</v>
      </c>
      <c r="C206">
        <f t="shared" si="29"/>
        <v>9.0477508821239713E-3</v>
      </c>
      <c r="D206">
        <f t="shared" si="30"/>
        <v>5.1234796406111324E-5</v>
      </c>
      <c r="M206">
        <v>603</v>
      </c>
      <c r="N206" s="13">
        <f>Messdaten!Z206-Messdaten!L206</f>
        <v>210923.32178</v>
      </c>
      <c r="O206">
        <f t="shared" si="31"/>
        <v>0.30699272358119767</v>
      </c>
      <c r="P206">
        <f t="shared" si="32"/>
        <v>76673.237379072263</v>
      </c>
      <c r="Q206">
        <v>683</v>
      </c>
      <c r="R206">
        <f>Messdaten!AE206-Messdaten!C206</f>
        <v>24885.36476</v>
      </c>
      <c r="S206">
        <f t="shared" si="33"/>
        <v>0.24255113144296883</v>
      </c>
      <c r="U206">
        <v>683</v>
      </c>
      <c r="V206">
        <f>Messdaten!AH206-Messdaten!C206</f>
        <v>10216.836869999999</v>
      </c>
      <c r="W206">
        <f t="shared" si="34"/>
        <v>0.10694896213050127</v>
      </c>
    </row>
    <row r="207" spans="1:25" x14ac:dyDescent="0.2">
      <c r="A207">
        <v>684</v>
      </c>
      <c r="B207" s="13">
        <f>Messdaten!Q207-Messdaten!C207</f>
        <v>326.60707000000002</v>
      </c>
      <c r="C207">
        <f t="shared" si="29"/>
        <v>9.2215775324611012E-3</v>
      </c>
      <c r="D207">
        <f t="shared" si="30"/>
        <v>5.4754977383716195E-5</v>
      </c>
      <c r="M207">
        <v>604</v>
      </c>
      <c r="N207" s="13">
        <f>Messdaten!Z207-Messdaten!L207</f>
        <v>211278.38785</v>
      </c>
      <c r="O207">
        <f t="shared" si="31"/>
        <v>0.3075087839887885</v>
      </c>
      <c r="P207">
        <f t="shared" si="32"/>
        <v>76802.30828901536</v>
      </c>
      <c r="Q207">
        <v>684</v>
      </c>
      <c r="R207">
        <f>Messdaten!AE207-Messdaten!C207</f>
        <v>23616.039420000001</v>
      </c>
      <c r="S207">
        <f t="shared" si="33"/>
        <v>0.23025033346128448</v>
      </c>
      <c r="U207">
        <v>684</v>
      </c>
      <c r="V207">
        <f>Messdaten!AH207-Messdaten!C207</f>
        <v>9957.9998599999999</v>
      </c>
      <c r="W207">
        <f t="shared" si="34"/>
        <v>0.10436546718879608</v>
      </c>
      <c r="Y207" s="2"/>
    </row>
    <row r="208" spans="1:25" x14ac:dyDescent="0.2">
      <c r="A208">
        <v>685</v>
      </c>
      <c r="B208" s="13">
        <f>Messdaten!Q208-Messdaten!C208</f>
        <v>424.29206999999997</v>
      </c>
      <c r="C208">
        <f t="shared" si="29"/>
        <v>1.0030258594426307E-2</v>
      </c>
      <c r="D208">
        <f t="shared" si="30"/>
        <v>7.1131658898076285E-5</v>
      </c>
      <c r="M208">
        <v>605</v>
      </c>
      <c r="N208" s="13">
        <f>Messdaten!Z208-Messdaten!L208</f>
        <v>211595.54053000003</v>
      </c>
      <c r="O208">
        <f t="shared" si="31"/>
        <v>0.30796974028717361</v>
      </c>
      <c r="P208">
        <f t="shared" si="32"/>
        <v>76917.597212562716</v>
      </c>
      <c r="Q208">
        <v>685</v>
      </c>
      <c r="R208">
        <f>Messdaten!AE208-Messdaten!C208</f>
        <v>22110.654300000002</v>
      </c>
      <c r="S208">
        <f t="shared" si="33"/>
        <v>0.2156619236484357</v>
      </c>
      <c r="U208">
        <v>685</v>
      </c>
      <c r="V208">
        <f>Messdaten!AH208-Messdaten!C208</f>
        <v>9423.6178199999995</v>
      </c>
      <c r="W208">
        <f t="shared" si="34"/>
        <v>9.9031711798567651E-2</v>
      </c>
    </row>
    <row r="209" spans="1:25" x14ac:dyDescent="0.2">
      <c r="A209">
        <v>686</v>
      </c>
      <c r="B209" s="13">
        <f>Messdaten!Q209-Messdaten!C209</f>
        <v>355.60036999999994</v>
      </c>
      <c r="C209">
        <f t="shared" si="29"/>
        <v>9.4615973168074782E-3</v>
      </c>
      <c r="D209">
        <f t="shared" si="30"/>
        <v>5.9615642175140624E-5</v>
      </c>
      <c r="M209">
        <v>606</v>
      </c>
      <c r="N209" s="13">
        <f>Messdaten!Z209-Messdaten!L209</f>
        <v>212982.99649999998</v>
      </c>
      <c r="O209">
        <f t="shared" si="31"/>
        <v>0.30998629763773244</v>
      </c>
      <c r="P209">
        <f t="shared" si="32"/>
        <v>77421.954625688304</v>
      </c>
      <c r="Q209">
        <v>686</v>
      </c>
      <c r="R209">
        <f>Messdaten!AE209-Messdaten!C209</f>
        <v>21059.37746</v>
      </c>
      <c r="S209">
        <f t="shared" si="33"/>
        <v>0.20547419350222784</v>
      </c>
      <c r="U209">
        <v>686</v>
      </c>
      <c r="V209">
        <f>Messdaten!AH209-Messdaten!C209</f>
        <v>8906.1625800000002</v>
      </c>
      <c r="W209">
        <f t="shared" si="34"/>
        <v>9.3866905594467046E-2</v>
      </c>
      <c r="Y209" s="2"/>
    </row>
    <row r="210" spans="1:25" x14ac:dyDescent="0.2">
      <c r="A210">
        <v>687</v>
      </c>
      <c r="B210" s="13">
        <f>Messdaten!Q210-Messdaten!C210</f>
        <v>274.47875999999997</v>
      </c>
      <c r="C210">
        <f t="shared" si="29"/>
        <v>8.7900355650223812E-3</v>
      </c>
      <c r="D210">
        <f t="shared" si="30"/>
        <v>4.6015777601233382E-5</v>
      </c>
      <c r="M210">
        <v>607</v>
      </c>
      <c r="N210" s="13">
        <f>Messdaten!Z210-Messdaten!L210</f>
        <v>211017.37104</v>
      </c>
      <c r="O210">
        <f t="shared" si="31"/>
        <v>0.30712941673086758</v>
      </c>
      <c r="P210">
        <f t="shared" si="32"/>
        <v>76707.425448824113</v>
      </c>
      <c r="Q210">
        <v>687</v>
      </c>
      <c r="R210">
        <f>Messdaten!AE210-Messdaten!C210</f>
        <v>19479.67282</v>
      </c>
      <c r="S210">
        <f t="shared" si="33"/>
        <v>0.19016556691531247</v>
      </c>
      <c r="U210">
        <v>687</v>
      </c>
      <c r="V210">
        <f>Messdaten!AH210-Messdaten!C210</f>
        <v>8272.1184599999997</v>
      </c>
      <c r="W210">
        <f t="shared" si="34"/>
        <v>8.7538406525350429E-2</v>
      </c>
    </row>
    <row r="211" spans="1:25" x14ac:dyDescent="0.2">
      <c r="A211">
        <v>688</v>
      </c>
      <c r="B211" s="13">
        <f>Messdaten!Q211-Messdaten!C211</f>
        <v>181.52472999999998</v>
      </c>
      <c r="C211">
        <f t="shared" si="29"/>
        <v>8.0205196342822919E-3</v>
      </c>
      <c r="D211">
        <f t="shared" si="30"/>
        <v>3.0432233098123648E-5</v>
      </c>
      <c r="M211">
        <v>608</v>
      </c>
      <c r="N211" s="13">
        <f>Messdaten!Z211-Messdaten!L211</f>
        <v>214198.00048000002</v>
      </c>
      <c r="O211">
        <f t="shared" si="31"/>
        <v>0.31175220968092859</v>
      </c>
      <c r="P211">
        <f t="shared" si="32"/>
        <v>77863.623606571447</v>
      </c>
      <c r="Q211">
        <v>688</v>
      </c>
      <c r="R211">
        <f>Messdaten!AE211-Messdaten!C211</f>
        <v>18865.306570000001</v>
      </c>
      <c r="S211">
        <f t="shared" si="33"/>
        <v>0.18421185679083407</v>
      </c>
      <c r="U211">
        <v>688</v>
      </c>
      <c r="V211">
        <f>Messdaten!AH211-Messdaten!C211</f>
        <v>8081.2296299999998</v>
      </c>
      <c r="W211">
        <f t="shared" si="34"/>
        <v>8.5633113589332413E-2</v>
      </c>
      <c r="Y211" s="2"/>
    </row>
    <row r="212" spans="1:25" x14ac:dyDescent="0.2">
      <c r="A212">
        <v>689</v>
      </c>
      <c r="B212" s="13">
        <f>Messdaten!Q212-Messdaten!C212</f>
        <v>341.04001</v>
      </c>
      <c r="C212">
        <f t="shared" si="29"/>
        <v>9.3410600041453941E-3</v>
      </c>
      <c r="D212">
        <f t="shared" si="30"/>
        <v>5.7174628934065464E-5</v>
      </c>
      <c r="M212">
        <v>609</v>
      </c>
      <c r="N212" s="13">
        <f>Messdaten!Z212-Messdaten!L212</f>
        <v>212457.63188</v>
      </c>
      <c r="O212">
        <f t="shared" si="31"/>
        <v>0.30922272177724258</v>
      </c>
      <c r="P212">
        <f t="shared" si="32"/>
        <v>77230.978085588882</v>
      </c>
      <c r="Q212">
        <v>689</v>
      </c>
      <c r="R212">
        <f>Messdaten!AE212-Messdaten!C212</f>
        <v>18530.880990000001</v>
      </c>
      <c r="S212">
        <f t="shared" si="33"/>
        <v>0.18097100011693548</v>
      </c>
      <c r="U212">
        <v>689</v>
      </c>
      <c r="V212">
        <f>Messdaten!AH212-Messdaten!C212</f>
        <v>7780.1231699999998</v>
      </c>
      <c r="W212">
        <f t="shared" si="34"/>
        <v>8.2627720286710171E-2</v>
      </c>
    </row>
    <row r="213" spans="1:25" x14ac:dyDescent="0.2">
      <c r="A213">
        <v>690</v>
      </c>
      <c r="B213" s="13">
        <f>Messdaten!Q213-Messdaten!C213</f>
        <v>295.89944999999994</v>
      </c>
      <c r="C213">
        <f t="shared" si="29"/>
        <v>8.9673658238873799E-3</v>
      </c>
      <c r="D213">
        <f t="shared" si="30"/>
        <v>4.960691050749164E-5</v>
      </c>
      <c r="M213">
        <v>610</v>
      </c>
      <c r="N213" s="13">
        <f>Messdaten!Z213-Messdaten!L213</f>
        <v>218050.50698000001</v>
      </c>
      <c r="O213">
        <f t="shared" si="31"/>
        <v>0.31735152271761613</v>
      </c>
      <c r="P213">
        <f t="shared" si="32"/>
        <v>79264.057389266251</v>
      </c>
      <c r="Q213">
        <v>690</v>
      </c>
      <c r="R213">
        <f>Messdaten!AE213-Messdaten!C213</f>
        <v>17369.59978</v>
      </c>
      <c r="S213">
        <f t="shared" si="33"/>
        <v>0.16971723789066812</v>
      </c>
      <c r="U213">
        <v>690</v>
      </c>
      <c r="V213">
        <f>Messdaten!AH213-Messdaten!C213</f>
        <v>7183.3563599999998</v>
      </c>
      <c r="W213">
        <f t="shared" si="34"/>
        <v>7.6671292204757949E-2</v>
      </c>
      <c r="Y213" s="2"/>
    </row>
    <row r="214" spans="1:25" x14ac:dyDescent="0.2">
      <c r="A214">
        <v>691</v>
      </c>
      <c r="B214" s="13">
        <f>Messdaten!Q214-Messdaten!C214</f>
        <v>6.8675499999999943</v>
      </c>
      <c r="C214">
        <f t="shared" si="29"/>
        <v>6.5746276979333313E-3</v>
      </c>
      <c r="D214">
        <f t="shared" si="30"/>
        <v>1.1513300827552196E-6</v>
      </c>
      <c r="M214">
        <v>611</v>
      </c>
      <c r="N214" s="13">
        <f>Messdaten!Z214-Messdaten!L214</f>
        <v>218992.37918000002</v>
      </c>
      <c r="O214">
        <f t="shared" si="31"/>
        <v>0.31872045935363574</v>
      </c>
      <c r="P214">
        <f t="shared" si="32"/>
        <v>79606.439588455556</v>
      </c>
      <c r="Q214">
        <v>691</v>
      </c>
      <c r="R214">
        <f>Messdaten!AE214-Messdaten!C214</f>
        <v>16439.835300000002</v>
      </c>
      <c r="S214">
        <f t="shared" si="33"/>
        <v>0.16070706163512613</v>
      </c>
      <c r="U214">
        <v>691</v>
      </c>
      <c r="V214">
        <f>Messdaten!AH214-Messdaten!C214</f>
        <v>6617.3105000000005</v>
      </c>
      <c r="W214">
        <f t="shared" si="34"/>
        <v>7.1021494998078846E-2</v>
      </c>
    </row>
    <row r="215" spans="1:25" x14ac:dyDescent="0.2">
      <c r="A215">
        <v>692</v>
      </c>
      <c r="B215" s="13">
        <f>Messdaten!Q215-Messdaten!C215</f>
        <v>134.67911000000004</v>
      </c>
      <c r="C215">
        <f t="shared" si="29"/>
        <v>7.6327101883077973E-3</v>
      </c>
      <c r="D215">
        <f t="shared" si="30"/>
        <v>2.2578665005962752E-5</v>
      </c>
      <c r="M215">
        <v>612</v>
      </c>
      <c r="N215" s="13">
        <f>Messdaten!Z215-Messdaten!L215</f>
        <v>220183.41098000002</v>
      </c>
      <c r="O215">
        <f t="shared" si="31"/>
        <v>0.32045152973206326</v>
      </c>
      <c r="P215">
        <f t="shared" si="32"/>
        <v>80039.394385282969</v>
      </c>
      <c r="Q215">
        <v>692</v>
      </c>
      <c r="R215">
        <f>Messdaten!AE215-Messdaten!C215</f>
        <v>15481.980579999999</v>
      </c>
      <c r="S215">
        <f t="shared" si="33"/>
        <v>0.15142466803970411</v>
      </c>
      <c r="U215">
        <v>692</v>
      </c>
      <c r="V215">
        <f>Messdaten!AH215-Messdaten!C215</f>
        <v>6300.4660299999996</v>
      </c>
      <c r="W215">
        <f t="shared" si="34"/>
        <v>6.7859018018638112E-2</v>
      </c>
      <c r="Y215" s="2"/>
    </row>
    <row r="216" spans="1:25" x14ac:dyDescent="0.2">
      <c r="A216">
        <v>693</v>
      </c>
      <c r="B216" s="13">
        <f>Messdaten!Q216-Messdaten!C216</f>
        <v>171.54539999999997</v>
      </c>
      <c r="C216">
        <f t="shared" si="29"/>
        <v>7.9379061810182158E-3</v>
      </c>
      <c r="D216">
        <f t="shared" si="30"/>
        <v>2.8759219747694213E-5</v>
      </c>
      <c r="M216">
        <v>613</v>
      </c>
      <c r="N216" s="13">
        <f>Messdaten!Z216-Messdaten!L216</f>
        <v>229263.95398000002</v>
      </c>
      <c r="O216">
        <f t="shared" si="31"/>
        <v>0.33364937970327074</v>
      </c>
      <c r="P216">
        <f t="shared" si="32"/>
        <v>83340.28412613424</v>
      </c>
      <c r="Q216">
        <v>693</v>
      </c>
      <c r="R216">
        <f>Messdaten!AE216-Messdaten!C216</f>
        <v>15062.600909999999</v>
      </c>
      <c r="S216">
        <f t="shared" si="33"/>
        <v>0.14736053693341467</v>
      </c>
      <c r="U216">
        <v>693</v>
      </c>
      <c r="V216">
        <f>Messdaten!AH216-Messdaten!C216</f>
        <v>6925.8737599999995</v>
      </c>
      <c r="W216">
        <f t="shared" si="34"/>
        <v>7.4101315852932892E-2</v>
      </c>
    </row>
    <row r="217" spans="1:25" x14ac:dyDescent="0.2">
      <c r="A217">
        <v>694</v>
      </c>
      <c r="B217" s="13">
        <f>Messdaten!Q217-Messdaten!C217</f>
        <v>131.40304000000003</v>
      </c>
      <c r="C217">
        <f t="shared" si="29"/>
        <v>7.6055893840218545E-3</v>
      </c>
      <c r="D217">
        <f t="shared" si="30"/>
        <v>2.2029438870847333E-5</v>
      </c>
      <c r="M217">
        <v>614</v>
      </c>
      <c r="N217" s="13">
        <f>Messdaten!Z217-Messdaten!L217</f>
        <v>229147.91627999998</v>
      </c>
      <c r="O217">
        <f t="shared" si="31"/>
        <v>0.33348072809778806</v>
      </c>
      <c r="P217">
        <f t="shared" si="32"/>
        <v>83298.102986362966</v>
      </c>
      <c r="Q217">
        <v>694</v>
      </c>
      <c r="R217">
        <f>Messdaten!AE217-Messdaten!C217</f>
        <v>14125.430330000001</v>
      </c>
      <c r="S217">
        <f t="shared" si="33"/>
        <v>0.13827858952743449</v>
      </c>
      <c r="U217">
        <v>694</v>
      </c>
      <c r="V217">
        <f>Messdaten!AH217-Messdaten!C217</f>
        <v>5830.6761600000009</v>
      </c>
      <c r="W217">
        <f t="shared" si="34"/>
        <v>6.3169967744068245E-2</v>
      </c>
      <c r="Y217" s="2"/>
    </row>
    <row r="218" spans="1:25" x14ac:dyDescent="0.2">
      <c r="A218">
        <v>695</v>
      </c>
      <c r="B218" s="13">
        <f>Messdaten!Q218-Messdaten!C218</f>
        <v>181.66595999999993</v>
      </c>
      <c r="C218">
        <f t="shared" si="29"/>
        <v>8.0216888007498283E-3</v>
      </c>
      <c r="D218">
        <f t="shared" si="30"/>
        <v>3.0455910005840002E-5</v>
      </c>
      <c r="M218">
        <v>615</v>
      </c>
      <c r="N218" s="13">
        <f>Messdaten!Z218-Messdaten!L218</f>
        <v>237507.24692000001</v>
      </c>
      <c r="O218">
        <f t="shared" si="31"/>
        <v>0.34563035303171974</v>
      </c>
      <c r="P218">
        <f t="shared" si="32"/>
        <v>86336.82311025422</v>
      </c>
      <c r="Q218">
        <v>695</v>
      </c>
      <c r="R218">
        <f>Messdaten!AE218-Messdaten!C218</f>
        <v>13733.805579999998</v>
      </c>
      <c r="S218">
        <f t="shared" si="33"/>
        <v>0.13448342623669166</v>
      </c>
      <c r="U218">
        <v>695</v>
      </c>
      <c r="V218">
        <f>Messdaten!AH218-Messdaten!C218</f>
        <v>5590.1941500000003</v>
      </c>
      <c r="W218">
        <f t="shared" si="34"/>
        <v>6.0769677088546838E-2</v>
      </c>
    </row>
    <row r="219" spans="1:25" x14ac:dyDescent="0.2">
      <c r="A219">
        <v>696</v>
      </c>
      <c r="B219" s="13">
        <f>Messdaten!Q219-Messdaten!C219</f>
        <v>-33.655070000000023</v>
      </c>
      <c r="C219">
        <f t="shared" si="29"/>
        <v>6.2391629349173878E-3</v>
      </c>
      <c r="D219">
        <f t="shared" si="30"/>
        <v>-5.6422005705430279E-6</v>
      </c>
      <c r="M219">
        <v>616</v>
      </c>
      <c r="N219" s="13">
        <f>Messdaten!Z219-Messdaten!L219</f>
        <v>241544.65211</v>
      </c>
      <c r="O219">
        <f t="shared" si="31"/>
        <v>0.35149840166830398</v>
      </c>
      <c r="P219">
        <f t="shared" si="32"/>
        <v>87804.469854653813</v>
      </c>
      <c r="Q219">
        <v>696</v>
      </c>
      <c r="R219">
        <f>Messdaten!AE219-Messdaten!C219</f>
        <v>13438.659629999998</v>
      </c>
      <c r="S219">
        <f t="shared" si="33"/>
        <v>0.13162322121938511</v>
      </c>
      <c r="U219">
        <v>696</v>
      </c>
      <c r="V219">
        <f>Messdaten!AH219-Messdaten!C219</f>
        <v>5639.7872600000001</v>
      </c>
      <c r="W219">
        <f t="shared" si="34"/>
        <v>6.1264674109368665E-2</v>
      </c>
      <c r="Y219" s="2"/>
    </row>
    <row r="220" spans="1:25" x14ac:dyDescent="0.2">
      <c r="A220">
        <v>697</v>
      </c>
      <c r="B220" s="13">
        <f>Messdaten!Q220-Messdaten!C220</f>
        <v>98.17981999999995</v>
      </c>
      <c r="C220">
        <f t="shared" si="29"/>
        <v>7.3305523892785085E-3</v>
      </c>
      <c r="D220">
        <f t="shared" si="30"/>
        <v>1.6459637030016905E-5</v>
      </c>
      <c r="M220">
        <v>617</v>
      </c>
      <c r="N220" s="13">
        <f>Messdaten!Z220-Messdaten!L220</f>
        <v>252437.34984000001</v>
      </c>
      <c r="O220">
        <f t="shared" si="31"/>
        <v>0.36733007499689818</v>
      </c>
      <c r="P220">
        <f t="shared" si="32"/>
        <v>91764.100263006141</v>
      </c>
      <c r="Q220">
        <v>697</v>
      </c>
      <c r="R220">
        <f>Messdaten!AE220-Messdaten!C220</f>
        <v>12503.400880000001</v>
      </c>
      <c r="S220">
        <f t="shared" si="33"/>
        <v>0.12255980100565755</v>
      </c>
      <c r="U220">
        <v>697</v>
      </c>
      <c r="V220">
        <f>Messdaten!AH220-Messdaten!C220</f>
        <v>5216.2538699999996</v>
      </c>
      <c r="W220">
        <f t="shared" si="34"/>
        <v>5.7037317400572426E-2</v>
      </c>
    </row>
    <row r="221" spans="1:25" x14ac:dyDescent="0.2">
      <c r="A221">
        <v>698</v>
      </c>
      <c r="B221" s="13">
        <f>Messdaten!Q221-Messdaten!C221</f>
        <v>88.70868999999999</v>
      </c>
      <c r="C221">
        <f t="shared" si="29"/>
        <v>7.2521460478093937E-3</v>
      </c>
      <c r="D221">
        <f t="shared" si="30"/>
        <v>1.4871822323653589E-5</v>
      </c>
      <c r="M221">
        <v>618</v>
      </c>
      <c r="N221" s="13">
        <f>Messdaten!Z221-Messdaten!L221</f>
        <v>258712.48968</v>
      </c>
      <c r="O221">
        <f t="shared" si="31"/>
        <v>0.37645049369395928</v>
      </c>
      <c r="P221">
        <f t="shared" si="32"/>
        <v>94045.191241845532</v>
      </c>
      <c r="Q221">
        <v>698</v>
      </c>
      <c r="R221">
        <f>Messdaten!AE221-Messdaten!C221</f>
        <v>12703.662750000001</v>
      </c>
      <c r="S221">
        <f t="shared" si="33"/>
        <v>0.12450050188720173</v>
      </c>
      <c r="U221">
        <v>698</v>
      </c>
      <c r="V221">
        <f>Messdaten!AH221-Messdaten!C221</f>
        <v>4850.1764899999998</v>
      </c>
      <c r="W221">
        <f t="shared" si="34"/>
        <v>5.338343861599408E-2</v>
      </c>
      <c r="Y221" s="2"/>
    </row>
    <row r="222" spans="1:25" x14ac:dyDescent="0.2">
      <c r="A222">
        <v>699</v>
      </c>
      <c r="B222" s="13">
        <f>Messdaten!Q222-Messdaten!C222</f>
        <v>343.77093999999994</v>
      </c>
      <c r="C222">
        <f t="shared" si="29"/>
        <v>9.3636678904386074E-3</v>
      </c>
      <c r="D222">
        <f t="shared" si="30"/>
        <v>5.7632463513049035E-5</v>
      </c>
      <c r="M222">
        <v>619</v>
      </c>
      <c r="N222" s="13">
        <f>Messdaten!Z222-Messdaten!L222</f>
        <v>273017.77474999998</v>
      </c>
      <c r="O222">
        <f t="shared" si="31"/>
        <v>0.39724209240663699</v>
      </c>
      <c r="P222">
        <f t="shared" si="32"/>
        <v>99245.339374783798</v>
      </c>
      <c r="Q222">
        <v>699</v>
      </c>
      <c r="R222">
        <f>Messdaten!AE222-Messdaten!C222</f>
        <v>11752.182220000001</v>
      </c>
      <c r="S222">
        <f t="shared" si="33"/>
        <v>0.11527987939254961</v>
      </c>
      <c r="U222">
        <v>699</v>
      </c>
      <c r="V222">
        <f>Messdaten!AH222-Messdaten!C222</f>
        <v>5163.1313399999999</v>
      </c>
      <c r="W222">
        <f t="shared" si="34"/>
        <v>5.6507092655874669E-2</v>
      </c>
    </row>
    <row r="223" spans="1:25" x14ac:dyDescent="0.2">
      <c r="A223">
        <v>700</v>
      </c>
      <c r="B223" s="13">
        <f>Messdaten!Q223-Messdaten!C223</f>
        <v>152.74327999999997</v>
      </c>
      <c r="C223">
        <f t="shared" si="29"/>
        <v>7.782253641029504E-3</v>
      </c>
      <c r="D223">
        <f t="shared" si="30"/>
        <v>2.5607084506513065E-5</v>
      </c>
      <c r="M223">
        <v>620</v>
      </c>
      <c r="N223" s="13">
        <f>Messdaten!Z223-Messdaten!L223</f>
        <v>283577.49501999997</v>
      </c>
      <c r="O223">
        <f t="shared" si="31"/>
        <v>0.41258980937261341</v>
      </c>
      <c r="P223">
        <f t="shared" si="32"/>
        <v>103083.92835624694</v>
      </c>
      <c r="Q223">
        <v>700</v>
      </c>
      <c r="R223">
        <f>Messdaten!AE223-Messdaten!C223</f>
        <v>11504.03017</v>
      </c>
      <c r="S223">
        <f t="shared" si="33"/>
        <v>0.11287508360095937</v>
      </c>
      <c r="U223">
        <v>700</v>
      </c>
      <c r="V223">
        <f>Messdaten!AH223-Messdaten!C223</f>
        <v>4897.5020199999999</v>
      </c>
      <c r="W223">
        <f t="shared" si="34"/>
        <v>5.3855802546362921E-2</v>
      </c>
      <c r="Y223" s="2"/>
    </row>
    <row r="224" spans="1:25" x14ac:dyDescent="0.2">
      <c r="A224">
        <v>701</v>
      </c>
      <c r="B224" s="13">
        <f>Messdaten!Q224-Messdaten!C224</f>
        <v>42.176119999999969</v>
      </c>
      <c r="C224">
        <f t="shared" si="29"/>
        <v>6.8669281727664466E-3</v>
      </c>
      <c r="D224">
        <f t="shared" si="30"/>
        <v>7.0707363950599673E-6</v>
      </c>
      <c r="M224">
        <v>621</v>
      </c>
      <c r="N224" s="13">
        <f>Messdaten!Z224-Messdaten!L224</f>
        <v>290969.18193999998</v>
      </c>
      <c r="O224">
        <f t="shared" si="31"/>
        <v>0.42333304080759449</v>
      </c>
      <c r="P224">
        <f t="shared" si="32"/>
        <v>105770.89801453859</v>
      </c>
      <c r="Q224">
        <v>701</v>
      </c>
      <c r="R224">
        <f>Messdaten!AE224-Messdaten!C224</f>
        <v>11031.9732</v>
      </c>
      <c r="S224">
        <f t="shared" si="33"/>
        <v>0.10830046648678748</v>
      </c>
      <c r="U224">
        <v>701</v>
      </c>
      <c r="V224">
        <f>Messdaten!AH224-Messdaten!C224</f>
        <v>4337.2713100000001</v>
      </c>
      <c r="W224">
        <f t="shared" si="34"/>
        <v>4.8264047312160066E-2</v>
      </c>
    </row>
    <row r="225" spans="1:25" x14ac:dyDescent="0.2">
      <c r="A225">
        <v>702</v>
      </c>
      <c r="B225" s="13">
        <f>Messdaten!Q225-Messdaten!C225</f>
        <v>32.027900000000045</v>
      </c>
      <c r="C225">
        <f t="shared" si="29"/>
        <v>6.7829165709170688E-3</v>
      </c>
      <c r="D225">
        <f t="shared" si="30"/>
        <v>5.3694089970187306E-6</v>
      </c>
      <c r="M225">
        <v>622</v>
      </c>
      <c r="N225" s="13">
        <f>Messdaten!Z225-Messdaten!L225</f>
        <v>303718.50806000002</v>
      </c>
      <c r="O225">
        <f t="shared" si="31"/>
        <v>0.44186317643558037</v>
      </c>
      <c r="P225">
        <f t="shared" si="32"/>
        <v>110405.43581610784</v>
      </c>
      <c r="Q225">
        <v>702</v>
      </c>
      <c r="R225">
        <f>Messdaten!AE225-Messdaten!C225</f>
        <v>10718.12249</v>
      </c>
      <c r="S225">
        <f t="shared" si="33"/>
        <v>0.10525899708689496</v>
      </c>
      <c r="U225">
        <v>702</v>
      </c>
      <c r="V225">
        <f>Messdaten!AH225-Messdaten!C225</f>
        <v>4208.48027</v>
      </c>
      <c r="W225">
        <f t="shared" si="34"/>
        <v>4.6978562673093374E-2</v>
      </c>
      <c r="Y225" s="2"/>
    </row>
    <row r="226" spans="1:25" x14ac:dyDescent="0.2">
      <c r="A226">
        <v>703</v>
      </c>
      <c r="B226" s="13">
        <f>Messdaten!Q226-Messdaten!C226</f>
        <v>147.35829999999999</v>
      </c>
      <c r="C226">
        <f t="shared" si="29"/>
        <v>7.7376743162093035E-3</v>
      </c>
      <c r="D226">
        <f t="shared" si="30"/>
        <v>2.4704304116266881E-5</v>
      </c>
      <c r="M226">
        <v>623</v>
      </c>
      <c r="N226" s="13">
        <f>Messdaten!Z226-Messdaten!L226</f>
        <v>316372.31314000004</v>
      </c>
      <c r="O226">
        <f t="shared" si="31"/>
        <v>0.46025447979824757</v>
      </c>
      <c r="P226">
        <f t="shared" si="32"/>
        <v>115005.25053768384</v>
      </c>
      <c r="Q226">
        <v>703</v>
      </c>
      <c r="R226">
        <f>Messdaten!AE226-Messdaten!C226</f>
        <v>10360.71182</v>
      </c>
      <c r="S226">
        <f t="shared" si="33"/>
        <v>0.10179539614108191</v>
      </c>
      <c r="U226">
        <v>703</v>
      </c>
      <c r="V226">
        <f>Messdaten!AH226-Messdaten!C226</f>
        <v>4145.57384</v>
      </c>
      <c r="W226">
        <f t="shared" si="34"/>
        <v>4.6350683206761521E-2</v>
      </c>
    </row>
    <row r="227" spans="1:25" x14ac:dyDescent="0.2">
      <c r="A227">
        <v>704</v>
      </c>
      <c r="B227" s="13">
        <f>Messdaten!Q227-Messdaten!C227</f>
        <v>261.58100999999994</v>
      </c>
      <c r="C227">
        <f t="shared" si="29"/>
        <v>8.683262097581506E-3</v>
      </c>
      <c r="D227">
        <f t="shared" si="30"/>
        <v>4.3853497373953467E-5</v>
      </c>
      <c r="M227">
        <v>624</v>
      </c>
      <c r="N227" s="13">
        <f>Messdaten!Z227-Messdaten!L227</f>
        <v>330559.62216999999</v>
      </c>
      <c r="O227">
        <f t="shared" si="31"/>
        <v>0.48087460968179052</v>
      </c>
      <c r="P227">
        <f t="shared" si="32"/>
        <v>120162.51292027631</v>
      </c>
      <c r="Q227">
        <v>704</v>
      </c>
      <c r="R227">
        <f>Messdaten!AE227-Messdaten!C227</f>
        <v>10309.448179999999</v>
      </c>
      <c r="S227">
        <f t="shared" si="33"/>
        <v>0.10129860965177585</v>
      </c>
      <c r="U227">
        <v>704</v>
      </c>
      <c r="V227">
        <f>Messdaten!AH227-Messdaten!C227</f>
        <v>4292.3681400000005</v>
      </c>
      <c r="W227">
        <f t="shared" si="34"/>
        <v>4.7815861356984929E-2</v>
      </c>
      <c r="Y227" s="2"/>
    </row>
    <row r="228" spans="1:25" x14ac:dyDescent="0.2">
      <c r="A228">
        <v>705</v>
      </c>
      <c r="B228" s="13">
        <f>Messdaten!Q228-Messdaten!C228</f>
        <v>306.51218999999998</v>
      </c>
      <c r="C228">
        <f t="shared" si="29"/>
        <v>9.0552229345344654E-3</v>
      </c>
      <c r="D228">
        <f t="shared" si="30"/>
        <v>5.1386113690935469E-5</v>
      </c>
      <c r="M228">
        <v>625</v>
      </c>
      <c r="N228" s="13">
        <f>Messdaten!Z228-Messdaten!L228</f>
        <v>346507.94852999999</v>
      </c>
      <c r="O228">
        <f t="shared" si="31"/>
        <v>0.50405423876246713</v>
      </c>
      <c r="P228">
        <f t="shared" si="32"/>
        <v>125959.92689270855</v>
      </c>
      <c r="Q228">
        <v>705</v>
      </c>
      <c r="R228">
        <f>Messdaten!AE228-Messdaten!C228</f>
        <v>9731.3454399999991</v>
      </c>
      <c r="S228">
        <f t="shared" si="33"/>
        <v>9.5696322520725463E-2</v>
      </c>
      <c r="U228">
        <v>705</v>
      </c>
      <c r="V228">
        <f>Messdaten!AH228-Messdaten!C228</f>
        <v>4241.8113000000003</v>
      </c>
      <c r="W228">
        <f t="shared" si="34"/>
        <v>4.7311245187880671E-2</v>
      </c>
    </row>
    <row r="229" spans="1:25" x14ac:dyDescent="0.2">
      <c r="A229">
        <v>706</v>
      </c>
      <c r="B229" s="13">
        <f>Messdaten!Q229-Messdaten!C229</f>
        <v>59.674060000000054</v>
      </c>
      <c r="C229">
        <f t="shared" si="29"/>
        <v>7.0117841148394722E-3</v>
      </c>
      <c r="D229">
        <f t="shared" si="30"/>
        <v>1.0004228646044085E-5</v>
      </c>
      <c r="M229">
        <v>626</v>
      </c>
      <c r="N229" s="13">
        <f>Messdaten!Z229-Messdaten!L229</f>
        <v>364293.70175000001</v>
      </c>
      <c r="O229">
        <f t="shared" si="31"/>
        <v>0.52990442223965362</v>
      </c>
      <c r="P229">
        <f t="shared" si="32"/>
        <v>132425.26826460785</v>
      </c>
      <c r="Q229">
        <v>706</v>
      </c>
      <c r="R229">
        <f>Messdaten!AE229-Messdaten!C229</f>
        <v>9389.4318199999998</v>
      </c>
      <c r="S229">
        <f t="shared" si="33"/>
        <v>9.2382900630947076E-2</v>
      </c>
      <c r="U229">
        <v>706</v>
      </c>
      <c r="V229">
        <f>Messdaten!AH229-Messdaten!C229</f>
        <v>3896.9724499999998</v>
      </c>
      <c r="W229">
        <f t="shared" si="34"/>
        <v>4.3869351678608406E-2</v>
      </c>
      <c r="Y229" s="2"/>
    </row>
    <row r="230" spans="1:25" x14ac:dyDescent="0.2">
      <c r="A230">
        <v>707</v>
      </c>
      <c r="B230" s="13">
        <f>Messdaten!Q230-Messdaten!C230</f>
        <v>-77.405120000000011</v>
      </c>
      <c r="C230">
        <f t="shared" si="29"/>
        <v>5.8769800317589622E-3</v>
      </c>
      <c r="D230">
        <f t="shared" si="30"/>
        <v>-1.2976802966891802E-5</v>
      </c>
      <c r="M230">
        <v>627</v>
      </c>
      <c r="N230" s="13">
        <f>Messdaten!Z230-Messdaten!L230</f>
        <v>382429.55359999998</v>
      </c>
      <c r="O230">
        <f t="shared" si="31"/>
        <v>0.55626344634386693</v>
      </c>
      <c r="P230">
        <f t="shared" si="32"/>
        <v>139017.87482054436</v>
      </c>
      <c r="Q230">
        <v>707</v>
      </c>
      <c r="R230">
        <f>Messdaten!AE230-Messdaten!C230</f>
        <v>8977.1048900000005</v>
      </c>
      <c r="S230">
        <f t="shared" si="33"/>
        <v>8.8387116328446591E-2</v>
      </c>
      <c r="U230">
        <v>707</v>
      </c>
      <c r="V230">
        <f>Messdaten!AH230-Messdaten!C230</f>
        <v>3506.5228999999999</v>
      </c>
      <c r="W230">
        <f t="shared" si="34"/>
        <v>3.9972210240387981E-2</v>
      </c>
    </row>
    <row r="231" spans="1:25" x14ac:dyDescent="0.2">
      <c r="A231">
        <v>708</v>
      </c>
      <c r="B231" s="13">
        <f>Messdaten!Q231-Messdaten!C231</f>
        <v>154.65161999999998</v>
      </c>
      <c r="C231">
        <f t="shared" si="29"/>
        <v>7.7980517514639695E-3</v>
      </c>
      <c r="D231">
        <f t="shared" si="30"/>
        <v>2.59270136297266E-5</v>
      </c>
      <c r="M231">
        <v>628</v>
      </c>
      <c r="N231" s="13">
        <f>Messdaten!Z231-Messdaten!L231</f>
        <v>398500.89859</v>
      </c>
      <c r="O231">
        <f t="shared" si="31"/>
        <v>0.57962187325881442</v>
      </c>
      <c r="P231">
        <f t="shared" si="32"/>
        <v>144860.00758718315</v>
      </c>
      <c r="Q231">
        <v>708</v>
      </c>
      <c r="R231">
        <f>Messdaten!AE231-Messdaten!C231</f>
        <v>9141.8547299999991</v>
      </c>
      <c r="S231">
        <f t="shared" si="33"/>
        <v>8.998367667077363E-2</v>
      </c>
      <c r="U231">
        <v>708</v>
      </c>
      <c r="V231">
        <f>Messdaten!AH231-Messdaten!C231</f>
        <v>3893.41345</v>
      </c>
      <c r="W231">
        <f t="shared" si="34"/>
        <v>4.3833828711867563E-2</v>
      </c>
      <c r="Y231" s="2"/>
    </row>
    <row r="232" spans="1:25" x14ac:dyDescent="0.2">
      <c r="A232">
        <v>709</v>
      </c>
      <c r="B232" s="13">
        <f>Messdaten!Q232-Messdaten!C232</f>
        <v>431.18616000000003</v>
      </c>
      <c r="C232">
        <f t="shared" si="29"/>
        <v>1.0087331021334059E-2</v>
      </c>
      <c r="D232">
        <f t="shared" si="30"/>
        <v>7.2287438355120209E-5</v>
      </c>
      <c r="M232">
        <v>629</v>
      </c>
      <c r="N232" s="13">
        <f>Messdaten!Z232-Messdaten!L232</f>
        <v>424375.18072999996</v>
      </c>
      <c r="O232">
        <f t="shared" si="31"/>
        <v>0.61722809282039948</v>
      </c>
      <c r="P232">
        <f t="shared" si="32"/>
        <v>154265.62930692139</v>
      </c>
      <c r="Q232">
        <v>709</v>
      </c>
      <c r="R232">
        <f>Messdaten!AE232-Messdaten!C232</f>
        <v>9138.4385399999992</v>
      </c>
      <c r="S232">
        <f t="shared" si="33"/>
        <v>8.9950571002957169E-2</v>
      </c>
      <c r="U232">
        <v>709</v>
      </c>
      <c r="V232">
        <f>Messdaten!AH232-Messdaten!C232</f>
        <v>3734.8364999999999</v>
      </c>
      <c r="W232">
        <f t="shared" si="34"/>
        <v>4.2251045986182241E-2</v>
      </c>
    </row>
    <row r="233" spans="1:25" x14ac:dyDescent="0.2">
      <c r="A233">
        <v>710</v>
      </c>
      <c r="B233" s="13">
        <f>Messdaten!Q233-Messdaten!C233</f>
        <v>-178.58011999999997</v>
      </c>
      <c r="C233">
        <f t="shared" si="29"/>
        <v>5.0394071552238781E-3</v>
      </c>
      <c r="D233">
        <f t="shared" si="30"/>
        <v>-2.9938575523736585E-5</v>
      </c>
      <c r="M233">
        <v>630</v>
      </c>
      <c r="N233" s="13">
        <f>Messdaten!Z233-Messdaten!L233</f>
        <v>443719.78262999997</v>
      </c>
      <c r="O233">
        <f t="shared" si="31"/>
        <v>0.64534393937593426</v>
      </c>
      <c r="P233">
        <f t="shared" si="32"/>
        <v>161297.63146280148</v>
      </c>
      <c r="Q233">
        <v>710</v>
      </c>
      <c r="R233">
        <f>Messdaten!AE233-Messdaten!C233</f>
        <v>8448.3696199999995</v>
      </c>
      <c r="S233">
        <f t="shared" si="33"/>
        <v>8.3263240252624035E-2</v>
      </c>
      <c r="U233">
        <v>710</v>
      </c>
      <c r="V233">
        <f>Messdaten!AH233-Messdaten!C233</f>
        <v>3410.1816900000003</v>
      </c>
      <c r="W233">
        <f t="shared" si="34"/>
        <v>3.9010612713385344E-2</v>
      </c>
      <c r="Y233" s="2"/>
    </row>
    <row r="234" spans="1:25" x14ac:dyDescent="0.2">
      <c r="A234">
        <v>711</v>
      </c>
      <c r="B234" s="13">
        <f>Messdaten!Q234-Messdaten!C234</f>
        <v>-30.252549999999928</v>
      </c>
      <c r="C234">
        <f t="shared" si="29"/>
        <v>6.2673305500779344E-3</v>
      </c>
      <c r="D234">
        <f t="shared" si="30"/>
        <v>-5.0717753631289709E-6</v>
      </c>
      <c r="M234">
        <v>631</v>
      </c>
      <c r="N234" s="13">
        <f>Messdaten!Z234-Messdaten!L234</f>
        <v>468816.36936999997</v>
      </c>
      <c r="O234">
        <f t="shared" si="31"/>
        <v>0.68181984027568399</v>
      </c>
      <c r="P234">
        <f t="shared" si="32"/>
        <v>170420.5512816328</v>
      </c>
      <c r="Q234">
        <v>711</v>
      </c>
      <c r="R234">
        <f>Messdaten!AE234-Messdaten!C234</f>
        <v>8864.0692400000007</v>
      </c>
      <c r="S234">
        <f t="shared" si="33"/>
        <v>8.7291708672456364E-2</v>
      </c>
      <c r="U234">
        <v>711</v>
      </c>
      <c r="V234">
        <f>Messdaten!AH234-Messdaten!C234</f>
        <v>3469.5201900000002</v>
      </c>
      <c r="W234">
        <f t="shared" si="34"/>
        <v>3.9602880081171632E-2</v>
      </c>
    </row>
    <row r="235" spans="1:25" x14ac:dyDescent="0.2">
      <c r="A235">
        <v>712</v>
      </c>
      <c r="B235" s="13">
        <f>Messdaten!Q235-Messdaten!C235</f>
        <v>-65.196399999999926</v>
      </c>
      <c r="C235">
        <f t="shared" si="29"/>
        <v>5.9780493940442252E-3</v>
      </c>
      <c r="D235">
        <f t="shared" si="30"/>
        <v>-1.0930037146776126E-5</v>
      </c>
      <c r="M235">
        <v>632</v>
      </c>
      <c r="N235" s="13">
        <f>Messdaten!Z235-Messdaten!L235</f>
        <v>489874.51196999999</v>
      </c>
      <c r="O235">
        <f t="shared" si="31"/>
        <v>0.71242618250732082</v>
      </c>
      <c r="P235">
        <f t="shared" si="32"/>
        <v>178075.44668488382</v>
      </c>
      <c r="Q235">
        <v>712</v>
      </c>
      <c r="R235">
        <f>Messdaten!AE235-Messdaten!C235</f>
        <v>8986.40625</v>
      </c>
      <c r="S235">
        <f t="shared" si="33"/>
        <v>8.8477254094320626E-2</v>
      </c>
      <c r="U235">
        <v>712</v>
      </c>
      <c r="V235">
        <f>Messdaten!AH235-Messdaten!C235</f>
        <v>3402.80123</v>
      </c>
      <c r="W235">
        <f t="shared" si="34"/>
        <v>3.8936947123300453E-2</v>
      </c>
      <c r="Y235" s="2"/>
    </row>
    <row r="236" spans="1:25" x14ac:dyDescent="0.2">
      <c r="A236">
        <v>713</v>
      </c>
      <c r="B236" s="13">
        <f>Messdaten!Q236-Messdaten!C236</f>
        <v>67.625589999999988</v>
      </c>
      <c r="C236">
        <f t="shared" si="29"/>
        <v>7.0776105132081893E-3</v>
      </c>
      <c r="D236">
        <f t="shared" si="30"/>
        <v>1.1337285659524955E-5</v>
      </c>
      <c r="M236">
        <v>633</v>
      </c>
      <c r="N236" s="13">
        <f>Messdaten!Z236-Messdaten!L236</f>
        <v>509551.56001999998</v>
      </c>
      <c r="O236">
        <f t="shared" si="31"/>
        <v>0.74102521320847403</v>
      </c>
      <c r="P236">
        <f t="shared" si="32"/>
        <v>185228.29712989379</v>
      </c>
      <c r="Q236">
        <v>713</v>
      </c>
      <c r="R236">
        <f>Messdaten!AE236-Messdaten!C236</f>
        <v>8679.9384500000015</v>
      </c>
      <c r="S236">
        <f t="shared" si="33"/>
        <v>8.5507331114849316E-2</v>
      </c>
      <c r="U236">
        <v>713</v>
      </c>
      <c r="V236">
        <f>Messdaten!AH236-Messdaten!C236</f>
        <v>3808.3126099999999</v>
      </c>
      <c r="W236">
        <f t="shared" si="34"/>
        <v>4.2984423174093567E-2</v>
      </c>
    </row>
    <row r="237" spans="1:25" x14ac:dyDescent="0.2">
      <c r="A237">
        <v>714</v>
      </c>
      <c r="B237" s="13">
        <f>Messdaten!Q237-Messdaten!C237</f>
        <v>-199.67107999999996</v>
      </c>
      <c r="C237">
        <f t="shared" si="29"/>
        <v>4.8648065519514647E-3</v>
      </c>
      <c r="D237">
        <f t="shared" si="30"/>
        <v>-3.3474429900069778E-5</v>
      </c>
      <c r="M237">
        <v>634</v>
      </c>
      <c r="N237" s="13">
        <f>Messdaten!Z237-Messdaten!L237</f>
        <v>539118.10566</v>
      </c>
      <c r="O237">
        <f t="shared" si="31"/>
        <v>0.78399784529926186</v>
      </c>
      <c r="P237">
        <f t="shared" si="32"/>
        <v>195976.10231902037</v>
      </c>
      <c r="Q237">
        <v>714</v>
      </c>
      <c r="R237">
        <f>Messdaten!AE237-Messdaten!C237</f>
        <v>8366.0050800000008</v>
      </c>
      <c r="S237">
        <f t="shared" si="33"/>
        <v>8.2465060672127874E-2</v>
      </c>
      <c r="U237">
        <v>714</v>
      </c>
      <c r="V237">
        <f>Messdaten!AH237-Messdaten!C237</f>
        <v>3355.2956800000002</v>
      </c>
      <c r="W237">
        <f t="shared" si="34"/>
        <v>3.8462786383582734E-2</v>
      </c>
      <c r="Y237" s="2"/>
    </row>
    <row r="238" spans="1:25" x14ac:dyDescent="0.2">
      <c r="A238">
        <v>715</v>
      </c>
      <c r="B238" s="13">
        <f>Messdaten!Q238-Messdaten!C238</f>
        <v>147.35766000000001</v>
      </c>
      <c r="C238">
        <f t="shared" si="29"/>
        <v>7.7376690179968895E-3</v>
      </c>
      <c r="D238">
        <f t="shared" si="30"/>
        <v>2.470419682163445E-5</v>
      </c>
      <c r="M238">
        <v>635</v>
      </c>
      <c r="N238" s="13">
        <f>Messdaten!Z238-Messdaten!L238</f>
        <v>553657.99734999996</v>
      </c>
      <c r="O238">
        <f t="shared" si="31"/>
        <v>0.80513042615067421</v>
      </c>
      <c r="P238">
        <f t="shared" si="32"/>
        <v>201261.53286129187</v>
      </c>
      <c r="Q238">
        <v>715</v>
      </c>
      <c r="R238">
        <f>Messdaten!AE238-Messdaten!C238</f>
        <v>8384.923499999999</v>
      </c>
      <c r="S238">
        <f t="shared" si="33"/>
        <v>8.2648395594404483E-2</v>
      </c>
      <c r="U238">
        <v>715</v>
      </c>
      <c r="V238">
        <f>Messdaten!AH238-Messdaten!C238</f>
        <v>3718.4055700000004</v>
      </c>
      <c r="W238">
        <f t="shared" si="34"/>
        <v>4.208704616041347E-2</v>
      </c>
    </row>
    <row r="239" spans="1:25" x14ac:dyDescent="0.2">
      <c r="A239">
        <v>716</v>
      </c>
      <c r="B239" s="13">
        <f>Messdaten!Q239-Messdaten!C239</f>
        <v>355.35344999999995</v>
      </c>
      <c r="C239">
        <f t="shared" si="29"/>
        <v>9.4595532002305152E-3</v>
      </c>
      <c r="D239">
        <f t="shared" si="30"/>
        <v>5.9574246564765176E-5</v>
      </c>
      <c r="M239">
        <v>636</v>
      </c>
      <c r="N239" s="13">
        <f>Messdaten!Z239-Messdaten!L239</f>
        <v>572227.69795000006</v>
      </c>
      <c r="O239">
        <f t="shared" si="31"/>
        <v>0.8321200150474003</v>
      </c>
      <c r="P239">
        <f t="shared" si="32"/>
        <v>208011.84880618853</v>
      </c>
      <c r="Q239">
        <v>716</v>
      </c>
      <c r="R239">
        <f>Messdaten!AE239-Messdaten!C239</f>
        <v>8542.1002100000005</v>
      </c>
      <c r="S239">
        <f t="shared" si="33"/>
        <v>8.4171566129340611E-2</v>
      </c>
      <c r="U239">
        <v>716</v>
      </c>
      <c r="V239">
        <f>Messdaten!AH239-Messdaten!C239</f>
        <v>3609.3854299999998</v>
      </c>
      <c r="W239">
        <f t="shared" si="34"/>
        <v>4.0998898139255308E-2</v>
      </c>
      <c r="Y239" s="2"/>
    </row>
    <row r="240" spans="1:25" x14ac:dyDescent="0.2">
      <c r="A240">
        <v>717</v>
      </c>
      <c r="B240" s="13">
        <f>Messdaten!Q240-Messdaten!C240</f>
        <v>-12.09514999999999</v>
      </c>
      <c r="C240">
        <f t="shared" si="29"/>
        <v>6.4176458033361307E-3</v>
      </c>
      <c r="D240">
        <f t="shared" si="30"/>
        <v>-2.0277260522947477E-6</v>
      </c>
      <c r="M240">
        <v>637</v>
      </c>
      <c r="N240" s="13">
        <f>Messdaten!Z240-Messdaten!L240</f>
        <v>590405.36391999992</v>
      </c>
      <c r="O240">
        <f t="shared" si="31"/>
        <v>0.85853981266289336</v>
      </c>
      <c r="P240">
        <f t="shared" si="32"/>
        <v>214619.65531214239</v>
      </c>
      <c r="Q240">
        <v>717</v>
      </c>
      <c r="R240">
        <f>Messdaten!AE240-Messdaten!C240</f>
        <v>8276.3437099999992</v>
      </c>
      <c r="S240">
        <f t="shared" si="33"/>
        <v>8.1596168856629195E-2</v>
      </c>
      <c r="U240">
        <v>717</v>
      </c>
      <c r="V240">
        <f>Messdaten!AH240-Messdaten!C240</f>
        <v>3173.9001399999997</v>
      </c>
      <c r="W240">
        <f t="shared" si="34"/>
        <v>3.6652247542796841E-2</v>
      </c>
    </row>
    <row r="241" spans="1:25" x14ac:dyDescent="0.2">
      <c r="A241">
        <v>718</v>
      </c>
      <c r="B241" s="13">
        <f>Messdaten!Q241-Messdaten!C241</f>
        <v>156.61262999999997</v>
      </c>
      <c r="C241">
        <f t="shared" si="29"/>
        <v>7.8142858882231884E-3</v>
      </c>
      <c r="D241">
        <f t="shared" si="30"/>
        <v>2.6255772765893615E-5</v>
      </c>
      <c r="M241">
        <v>638</v>
      </c>
      <c r="N241" s="13">
        <f>Messdaten!Z241-Messdaten!L241</f>
        <v>613580.98661000002</v>
      </c>
      <c r="O241">
        <f t="shared" si="31"/>
        <v>0.8922237444775365</v>
      </c>
      <c r="P241">
        <f t="shared" si="32"/>
        <v>223044.28092927358</v>
      </c>
      <c r="Q241">
        <v>718</v>
      </c>
      <c r="R241">
        <f>Messdaten!AE241-Messdaten!C241</f>
        <v>8142.5977499999999</v>
      </c>
      <c r="S241">
        <f t="shared" si="33"/>
        <v>8.0300061402549347E-2</v>
      </c>
      <c r="U241">
        <v>718</v>
      </c>
      <c r="V241">
        <f>Messdaten!AH241-Messdaten!C241</f>
        <v>3531.8515699999998</v>
      </c>
      <c r="W241">
        <f t="shared" si="34"/>
        <v>4.0225019878488498E-2</v>
      </c>
      <c r="Y241" s="2"/>
    </row>
    <row r="242" spans="1:25" x14ac:dyDescent="0.2">
      <c r="A242">
        <v>719</v>
      </c>
      <c r="B242" s="13">
        <f>Messdaten!Q242-Messdaten!C242</f>
        <v>-18.888320000000022</v>
      </c>
      <c r="C242">
        <f t="shared" si="29"/>
        <v>6.3614088382984053E-3</v>
      </c>
      <c r="D242">
        <f t="shared" si="30"/>
        <v>-3.1665864869869333E-6</v>
      </c>
      <c r="M242">
        <v>639</v>
      </c>
      <c r="N242" s="13">
        <f>Messdaten!Z242-Messdaten!L242</f>
        <v>630807.52361000003</v>
      </c>
      <c r="O242">
        <f t="shared" si="31"/>
        <v>0.9172611514750536</v>
      </c>
      <c r="P242">
        <f t="shared" si="32"/>
        <v>229306.34028560226</v>
      </c>
      <c r="Q242">
        <v>719</v>
      </c>
      <c r="R242">
        <f>Messdaten!AE242-Messdaten!C242</f>
        <v>8185.6481899999999</v>
      </c>
      <c r="S242">
        <f t="shared" si="33"/>
        <v>8.0717255284034936E-2</v>
      </c>
      <c r="U242">
        <v>719</v>
      </c>
      <c r="V242">
        <f>Messdaten!AH242-Messdaten!C242</f>
        <v>3447.51748</v>
      </c>
      <c r="W242">
        <f t="shared" si="34"/>
        <v>3.9383267399087235E-2</v>
      </c>
    </row>
    <row r="243" spans="1:25" x14ac:dyDescent="0.2">
      <c r="A243">
        <v>720</v>
      </c>
      <c r="B243" s="13">
        <f>Messdaten!Q243-Messdaten!C243</f>
        <v>-97.134930000000054</v>
      </c>
      <c r="C243">
        <f t="shared" si="29"/>
        <v>5.713647650091646E-3</v>
      </c>
      <c r="D243">
        <f t="shared" si="30"/>
        <v>-1.6284463454262819E-5</v>
      </c>
      <c r="M243">
        <v>640</v>
      </c>
      <c r="N243" s="13">
        <f>Messdaten!Z243-Messdaten!L243</f>
        <v>641640.93322000001</v>
      </c>
      <c r="O243">
        <f t="shared" si="31"/>
        <v>0.93300665421750173</v>
      </c>
      <c r="P243">
        <f t="shared" si="32"/>
        <v>233244.41872871833</v>
      </c>
      <c r="Q243">
        <v>720</v>
      </c>
      <c r="R243">
        <f>Messdaten!AE243-Messdaten!C243</f>
        <v>7790.8892100000003</v>
      </c>
      <c r="S243">
        <f t="shared" si="33"/>
        <v>7.6891718747881213E-2</v>
      </c>
      <c r="U243">
        <v>720</v>
      </c>
      <c r="V243">
        <f>Messdaten!AH243-Messdaten!C243</f>
        <v>3153.6160599999998</v>
      </c>
      <c r="W243">
        <f t="shared" si="34"/>
        <v>3.6449788790560669E-2</v>
      </c>
      <c r="Y243" s="2"/>
    </row>
    <row r="244" spans="1:25" x14ac:dyDescent="0.2">
      <c r="A244">
        <v>721</v>
      </c>
      <c r="B244" s="13">
        <f>Messdaten!Q244-Messdaten!C244</f>
        <v>-96.906489999999962</v>
      </c>
      <c r="C244">
        <f t="shared" si="29"/>
        <v>5.7155387807851545E-3</v>
      </c>
      <c r="D244">
        <f t="shared" si="30"/>
        <v>-1.6246165976398847E-5</v>
      </c>
      <c r="M244">
        <v>641</v>
      </c>
      <c r="N244" s="13">
        <f>Messdaten!Z244-Messdaten!L244</f>
        <v>653452.68262999994</v>
      </c>
      <c r="O244">
        <f t="shared" si="31"/>
        <v>0.95017409636393257</v>
      </c>
      <c r="P244">
        <f t="shared" si="32"/>
        <v>237538.13579486456</v>
      </c>
      <c r="Q244">
        <v>721</v>
      </c>
      <c r="R244">
        <f>Messdaten!AE244-Messdaten!C244</f>
        <v>7295.1878199999992</v>
      </c>
      <c r="S244">
        <f t="shared" si="33"/>
        <v>7.208796791625427E-2</v>
      </c>
      <c r="U244">
        <v>721</v>
      </c>
      <c r="V244">
        <f>Messdaten!AH244-Messdaten!C244</f>
        <v>3363.08331</v>
      </c>
      <c r="W244">
        <f t="shared" si="34"/>
        <v>3.8540516004678539E-2</v>
      </c>
    </row>
    <row r="245" spans="1:25" x14ac:dyDescent="0.2">
      <c r="A245">
        <v>722</v>
      </c>
      <c r="B245" s="13">
        <f>Messdaten!Q245-Messdaten!C245</f>
        <v>404.35485</v>
      </c>
      <c r="C245">
        <f t="shared" si="29"/>
        <v>9.8652091780140234E-3</v>
      </c>
      <c r="D245">
        <f t="shared" si="30"/>
        <v>6.7789226567403928E-5</v>
      </c>
      <c r="M245">
        <v>642</v>
      </c>
      <c r="N245" s="13">
        <f>Messdaten!Z245-Messdaten!L245</f>
        <v>666654.98226000008</v>
      </c>
      <c r="O245">
        <f t="shared" si="31"/>
        <v>0.96936259310819894</v>
      </c>
      <c r="P245">
        <f t="shared" si="32"/>
        <v>242337.33507229897</v>
      </c>
      <c r="Q245">
        <v>722</v>
      </c>
      <c r="R245">
        <f>Messdaten!AE245-Messdaten!C245</f>
        <v>7947.3445199999996</v>
      </c>
      <c r="S245">
        <f t="shared" si="33"/>
        <v>7.8407898328343842E-2</v>
      </c>
      <c r="U245">
        <v>722</v>
      </c>
      <c r="V245">
        <f>Messdaten!AH245-Messdaten!C245</f>
        <v>3388.3108700000003</v>
      </c>
      <c r="W245">
        <f t="shared" si="34"/>
        <v>3.8792316447171536E-2</v>
      </c>
      <c r="Y245" s="2"/>
    </row>
    <row r="246" spans="1:25" x14ac:dyDescent="0.2">
      <c r="A246">
        <v>723</v>
      </c>
      <c r="B246" s="13">
        <f>Messdaten!Q246-Messdaten!C246</f>
        <v>5.3763200000000779</v>
      </c>
      <c r="C246">
        <f t="shared" si="29"/>
        <v>6.5622826146550977E-3</v>
      </c>
      <c r="D246">
        <f t="shared" si="30"/>
        <v>9.0132855975109567E-7</v>
      </c>
      <c r="M246">
        <v>643</v>
      </c>
      <c r="N246" s="13">
        <f>Messdaten!Z246-Messdaten!L246</f>
        <v>677791.32353000005</v>
      </c>
      <c r="O246">
        <f t="shared" si="31"/>
        <v>0.98554838302292391</v>
      </c>
      <c r="P246">
        <f t="shared" si="32"/>
        <v>246385.53292222507</v>
      </c>
      <c r="Q246">
        <v>723</v>
      </c>
      <c r="R246">
        <f>Messdaten!AE246-Messdaten!C246</f>
        <v>7793.5145400000001</v>
      </c>
      <c r="S246">
        <f t="shared" si="33"/>
        <v>7.6917160337163004E-2</v>
      </c>
      <c r="U246">
        <v>723</v>
      </c>
      <c r="V246">
        <f>Messdaten!AH246-Messdaten!C246</f>
        <v>2951.9336800000001</v>
      </c>
      <c r="W246">
        <f t="shared" si="34"/>
        <v>3.4436763649522813E-2</v>
      </c>
    </row>
    <row r="247" spans="1:25" x14ac:dyDescent="0.2">
      <c r="A247">
        <v>724</v>
      </c>
      <c r="B247" s="13">
        <f>Messdaten!Q247-Messdaten!C247</f>
        <v>-142.87936999999999</v>
      </c>
      <c r="C247">
        <f t="shared" si="29"/>
        <v>5.3349542752827847E-3</v>
      </c>
      <c r="D247">
        <f t="shared" si="30"/>
        <v>-2.3953421072451425E-5</v>
      </c>
      <c r="M247">
        <v>644</v>
      </c>
      <c r="N247" s="13">
        <f>Messdaten!Z247-Messdaten!L247</f>
        <v>680309.40577000007</v>
      </c>
      <c r="O247">
        <f t="shared" si="31"/>
        <v>0.98920821609884046</v>
      </c>
      <c r="P247">
        <f t="shared" si="32"/>
        <v>247300.88697458027</v>
      </c>
      <c r="Q247">
        <v>724</v>
      </c>
      <c r="R247">
        <f>Messdaten!AE247-Messdaten!C247</f>
        <v>7323.1376300000002</v>
      </c>
      <c r="S247">
        <f t="shared" si="33"/>
        <v>7.2358824374880143E-2</v>
      </c>
      <c r="U247">
        <v>724</v>
      </c>
      <c r="V247">
        <f>Messdaten!AH247-Messdaten!C247</f>
        <v>3133.3482800000002</v>
      </c>
      <c r="W247">
        <f t="shared" si="34"/>
        <v>3.6247492731316305E-2</v>
      </c>
      <c r="Y247" s="2"/>
    </row>
    <row r="248" spans="1:25" x14ac:dyDescent="0.2">
      <c r="A248">
        <v>725</v>
      </c>
      <c r="B248" s="13">
        <f>Messdaten!Q248-Messdaten!C248</f>
        <v>20.981400000000008</v>
      </c>
      <c r="C248">
        <f t="shared" si="29"/>
        <v>6.6914685968064202E-3</v>
      </c>
      <c r="D248">
        <f t="shared" si="30"/>
        <v>3.5174868764436217E-6</v>
      </c>
      <c r="M248">
        <v>645</v>
      </c>
      <c r="N248" s="13">
        <f>Messdaten!Z248-Messdaten!L248</f>
        <v>687734.49834000005</v>
      </c>
      <c r="O248">
        <f t="shared" si="31"/>
        <v>1</v>
      </c>
      <c r="P248">
        <f t="shared" si="32"/>
        <v>250000</v>
      </c>
      <c r="Q248">
        <v>725</v>
      </c>
      <c r="R248">
        <f>Messdaten!AE248-Messdaten!C248</f>
        <v>7453.9622400000007</v>
      </c>
      <c r="S248">
        <f t="shared" si="33"/>
        <v>7.3626621564403388E-2</v>
      </c>
      <c r="U248">
        <v>725</v>
      </c>
      <c r="V248">
        <f>Messdaten!AH248-Messdaten!C248</f>
        <v>3065.2817099999997</v>
      </c>
      <c r="W248">
        <f t="shared" si="34"/>
        <v>3.5568109055487941E-2</v>
      </c>
    </row>
    <row r="249" spans="1:25" x14ac:dyDescent="0.2">
      <c r="A249">
        <v>726</v>
      </c>
      <c r="B249" s="13">
        <f>Messdaten!Q249-Messdaten!C249</f>
        <v>-223.74593000000004</v>
      </c>
      <c r="C249">
        <f t="shared" si="29"/>
        <v>4.6655039439292192E-3</v>
      </c>
      <c r="D249">
        <f t="shared" si="30"/>
        <v>-3.751052705885561E-5</v>
      </c>
      <c r="M249">
        <v>646</v>
      </c>
      <c r="N249" s="13">
        <f>Messdaten!Z249-Messdaten!L249</f>
        <v>679839.26510999992</v>
      </c>
      <c r="O249">
        <f t="shared" si="31"/>
        <v>0.9885249038898628</v>
      </c>
      <c r="P249">
        <f t="shared" si="32"/>
        <v>247129.98502726815</v>
      </c>
      <c r="Q249">
        <v>726</v>
      </c>
      <c r="R249">
        <f>Messdaten!AE249-Messdaten!C249</f>
        <v>7154.3819100000001</v>
      </c>
      <c r="S249">
        <f t="shared" si="33"/>
        <v>7.0723443787603993E-2</v>
      </c>
      <c r="U249">
        <v>726</v>
      </c>
      <c r="V249">
        <f>Messdaten!AH249-Messdaten!C249</f>
        <v>2556.1773899999998</v>
      </c>
      <c r="W249">
        <f t="shared" si="34"/>
        <v>3.048665476299604E-2</v>
      </c>
      <c r="Y249" s="2"/>
    </row>
    <row r="250" spans="1:25" x14ac:dyDescent="0.2">
      <c r="A250">
        <v>727</v>
      </c>
      <c r="B250" s="13">
        <f>Messdaten!Q250-Messdaten!C250</f>
        <v>53.111520000000041</v>
      </c>
      <c r="C250">
        <f t="shared" si="29"/>
        <v>6.9574564103158593E-3</v>
      </c>
      <c r="D250">
        <f t="shared" si="30"/>
        <v>8.9040328380362146E-6</v>
      </c>
      <c r="M250">
        <v>647</v>
      </c>
      <c r="N250" s="13">
        <f>Messdaten!Z250-Messdaten!L250</f>
        <v>681021.11890999996</v>
      </c>
      <c r="O250">
        <f t="shared" si="31"/>
        <v>0.99024263477228924</v>
      </c>
      <c r="P250">
        <f t="shared" si="32"/>
        <v>247559.6035075293</v>
      </c>
      <c r="Q250">
        <v>727</v>
      </c>
      <c r="R250">
        <f>Messdaten!AE250-Messdaten!C250</f>
        <v>7191.1028799999995</v>
      </c>
      <c r="S250">
        <f t="shared" si="33"/>
        <v>7.1079299941599533E-2</v>
      </c>
      <c r="U250">
        <v>727</v>
      </c>
      <c r="V250">
        <f>Messdaten!AH250-Messdaten!C250</f>
        <v>3332.6703299999999</v>
      </c>
      <c r="W250">
        <f t="shared" si="34"/>
        <v>3.8236959028834235E-2</v>
      </c>
    </row>
    <row r="251" spans="1:25" x14ac:dyDescent="0.2">
      <c r="A251">
        <v>728</v>
      </c>
      <c r="B251" s="13">
        <f>Messdaten!Q251-Messdaten!C251</f>
        <v>37.444839999999999</v>
      </c>
      <c r="C251">
        <f t="shared" si="29"/>
        <v>6.8277604752196921E-3</v>
      </c>
      <c r="D251">
        <f t="shared" si="30"/>
        <v>6.2775474129720195E-6</v>
      </c>
      <c r="M251">
        <v>648</v>
      </c>
      <c r="N251" s="13">
        <f>Messdaten!Z251-Messdaten!L251</f>
        <v>672485.68978000002</v>
      </c>
      <c r="O251">
        <f t="shared" si="31"/>
        <v>0.97783706463208808</v>
      </c>
      <c r="P251">
        <f t="shared" si="32"/>
        <v>244456.86940352476</v>
      </c>
      <c r="Q251">
        <v>728</v>
      </c>
      <c r="R251">
        <f>Messdaten!AE251-Messdaten!C251</f>
        <v>7502.49568</v>
      </c>
      <c r="S251">
        <f t="shared" si="33"/>
        <v>7.4096950188581173E-2</v>
      </c>
      <c r="U251">
        <v>728</v>
      </c>
      <c r="V251">
        <f>Messdaten!AH251-Messdaten!C251</f>
        <v>3124.0152600000001</v>
      </c>
      <c r="W251">
        <f t="shared" si="34"/>
        <v>3.61543383174215E-2</v>
      </c>
      <c r="Y251" s="2"/>
    </row>
    <row r="252" spans="1:25" x14ac:dyDescent="0.2">
      <c r="A252">
        <v>729</v>
      </c>
      <c r="B252" s="13">
        <f>Messdaten!Q252-Messdaten!C252</f>
        <v>29.901809999999955</v>
      </c>
      <c r="C252">
        <f t="shared" si="29"/>
        <v>6.7653158264933226E-3</v>
      </c>
      <c r="D252">
        <f t="shared" si="30"/>
        <v>5.0129745515985802E-6</v>
      </c>
      <c r="M252">
        <v>649</v>
      </c>
      <c r="N252" s="13">
        <f>Messdaten!Z252-Messdaten!L252</f>
        <v>658282.73627999995</v>
      </c>
      <c r="O252">
        <f t="shared" si="31"/>
        <v>0.95719419675061468</v>
      </c>
      <c r="P252">
        <f t="shared" si="32"/>
        <v>239293.92006250651</v>
      </c>
      <c r="Q252">
        <v>729</v>
      </c>
      <c r="R252">
        <f>Messdaten!AE252-Messdaten!C252</f>
        <v>6883.4134300000005</v>
      </c>
      <c r="S252">
        <f t="shared" si="33"/>
        <v>6.8097538177081737E-2</v>
      </c>
      <c r="U252">
        <v>729</v>
      </c>
      <c r="V252">
        <f>Messdaten!AH252-Messdaten!C252</f>
        <v>2497.8752100000002</v>
      </c>
      <c r="W252">
        <f t="shared" si="34"/>
        <v>2.9904731076269842E-2</v>
      </c>
    </row>
    <row r="253" spans="1:25" x14ac:dyDescent="0.2">
      <c r="A253">
        <v>730</v>
      </c>
      <c r="B253" s="13">
        <f>Messdaten!Q253-Messdaten!C253</f>
        <v>173.80987000000005</v>
      </c>
      <c r="C253">
        <f t="shared" si="29"/>
        <v>7.9566524983073431E-3</v>
      </c>
      <c r="D253">
        <f t="shared" si="30"/>
        <v>2.9138853304420671E-5</v>
      </c>
      <c r="M253">
        <v>650</v>
      </c>
      <c r="N253" s="13">
        <f>Messdaten!Z253-Messdaten!L253</f>
        <v>630575.96343</v>
      </c>
      <c r="O253">
        <f t="shared" si="31"/>
        <v>0.91692459709554719</v>
      </c>
      <c r="P253">
        <f t="shared" si="32"/>
        <v>229222.1652949049</v>
      </c>
      <c r="Q253">
        <v>730</v>
      </c>
      <c r="R253">
        <f>Messdaten!AE253-Messdaten!C253</f>
        <v>7225.7102199999999</v>
      </c>
      <c r="S253">
        <f t="shared" si="33"/>
        <v>7.1414673296726502E-2</v>
      </c>
      <c r="U253">
        <v>730</v>
      </c>
      <c r="V253">
        <f>Messdaten!AH253-Messdaten!C253</f>
        <v>2918.1427100000001</v>
      </c>
      <c r="W253">
        <f t="shared" si="34"/>
        <v>3.4099490397640042E-2</v>
      </c>
      <c r="Y253" s="2"/>
    </row>
    <row r="254" spans="1:25" x14ac:dyDescent="0.2">
      <c r="A254">
        <v>731</v>
      </c>
      <c r="B254" s="13">
        <f>Messdaten!Q254-Messdaten!C254</f>
        <v>276.58678999999995</v>
      </c>
      <c r="C254">
        <f t="shared" si="29"/>
        <v>8.8074868005145711E-3</v>
      </c>
      <c r="D254">
        <f t="shared" si="30"/>
        <v>4.6369184326244551E-5</v>
      </c>
      <c r="M254">
        <v>651</v>
      </c>
      <c r="N254" s="13">
        <f>Messdaten!Z254-Messdaten!L254</f>
        <v>610230.49885000009</v>
      </c>
      <c r="O254">
        <f t="shared" si="31"/>
        <v>0.8873540759140105</v>
      </c>
      <c r="P254">
        <f t="shared" si="32"/>
        <v>221826.33717042222</v>
      </c>
      <c r="Q254">
        <v>731</v>
      </c>
      <c r="R254">
        <f>Messdaten!AE254-Messdaten!C254</f>
        <v>7157.4035000000003</v>
      </c>
      <c r="S254">
        <f t="shared" si="33"/>
        <v>7.0752725459530194E-2</v>
      </c>
      <c r="U254">
        <v>731</v>
      </c>
      <c r="V254">
        <f>Messdaten!AH254-Messdaten!C254</f>
        <v>3172.6503199999997</v>
      </c>
      <c r="W254">
        <f t="shared" si="34"/>
        <v>3.6639772882978906E-2</v>
      </c>
    </row>
    <row r="255" spans="1:25" x14ac:dyDescent="0.2">
      <c r="A255">
        <v>732</v>
      </c>
      <c r="B255" s="13">
        <f>Messdaten!Q255-Messdaten!C255</f>
        <v>69.0708699999999</v>
      </c>
      <c r="C255">
        <f t="shared" si="29"/>
        <v>7.0895752013920149E-3</v>
      </c>
      <c r="D255">
        <f t="shared" si="30"/>
        <v>1.1579583763216135E-5</v>
      </c>
      <c r="M255">
        <v>652</v>
      </c>
      <c r="N255" s="13">
        <f>Messdaten!Z255-Messdaten!L255</f>
        <v>585489.37826999999</v>
      </c>
      <c r="O255">
        <f t="shared" si="31"/>
        <v>0.85139481692097485</v>
      </c>
      <c r="P255">
        <f t="shared" si="32"/>
        <v>212832.63369919956</v>
      </c>
      <c r="Q255">
        <v>732</v>
      </c>
      <c r="R255">
        <f>Messdaten!AE255-Messdaten!C255</f>
        <v>6530.58817</v>
      </c>
      <c r="S255">
        <f t="shared" si="33"/>
        <v>6.4678373594662497E-2</v>
      </c>
      <c r="U255">
        <v>732</v>
      </c>
      <c r="V255">
        <f>Messdaten!AH255-Messdaten!C255</f>
        <v>2606.3738999999996</v>
      </c>
      <c r="W255">
        <f t="shared" si="34"/>
        <v>3.0987674418864627E-2</v>
      </c>
      <c r="Y255" s="2"/>
    </row>
    <row r="256" spans="1:25" x14ac:dyDescent="0.2">
      <c r="A256">
        <v>733</v>
      </c>
      <c r="B256" s="13">
        <f>Messdaten!Q256-Messdaten!C256</f>
        <v>-101.99036999999998</v>
      </c>
      <c r="C256">
        <f t="shared" si="29"/>
        <v>5.6734520993365831E-3</v>
      </c>
      <c r="D256">
        <f t="shared" si="30"/>
        <v>-1.7098467595042708E-5</v>
      </c>
      <c r="M256">
        <v>653</v>
      </c>
      <c r="N256" s="13">
        <f>Messdaten!Z256-Messdaten!L256</f>
        <v>561341.6812799999</v>
      </c>
      <c r="O256">
        <f t="shared" si="31"/>
        <v>0.81629805211030215</v>
      </c>
      <c r="P256">
        <f t="shared" si="32"/>
        <v>204054.64704581592</v>
      </c>
      <c r="Q256">
        <v>733</v>
      </c>
      <c r="R256">
        <f>Messdaten!AE256-Messdaten!C256</f>
        <v>6759.0370199999998</v>
      </c>
      <c r="S256">
        <f t="shared" si="33"/>
        <v>6.6892229305601125E-2</v>
      </c>
      <c r="U256">
        <v>733</v>
      </c>
      <c r="V256">
        <f>Messdaten!AH256-Messdaten!C256</f>
        <v>2924.2661600000001</v>
      </c>
      <c r="W256">
        <f t="shared" si="34"/>
        <v>3.4160609563329621E-2</v>
      </c>
    </row>
    <row r="257" spans="1:25" x14ac:dyDescent="0.2">
      <c r="A257">
        <v>734</v>
      </c>
      <c r="B257" s="13">
        <f>Messdaten!Q257-Messdaten!C257</f>
        <v>-85.605139999999949</v>
      </c>
      <c r="C257">
        <f t="shared" si="29"/>
        <v>5.8090965196359564E-3</v>
      </c>
      <c r="D257">
        <f t="shared" si="30"/>
        <v>-1.4351518797893307E-5</v>
      </c>
      <c r="M257">
        <v>654</v>
      </c>
      <c r="N257" s="13">
        <f>Messdaten!Z257-Messdaten!L257</f>
        <v>531620.04865000001</v>
      </c>
      <c r="O257">
        <f t="shared" si="31"/>
        <v>0.77310001336415179</v>
      </c>
      <c r="P257">
        <f t="shared" si="32"/>
        <v>193250.46581681704</v>
      </c>
      <c r="Q257">
        <v>734</v>
      </c>
      <c r="R257">
        <f>Messdaten!AE257-Messdaten!C257</f>
        <v>6455.7351699999999</v>
      </c>
      <c r="S257">
        <f t="shared" si="33"/>
        <v>6.3952986964215947E-2</v>
      </c>
      <c r="U257">
        <v>734</v>
      </c>
      <c r="V257">
        <f>Messdaten!AH257-Messdaten!C257</f>
        <v>2780.7505700000002</v>
      </c>
      <c r="W257">
        <f t="shared" si="34"/>
        <v>3.2728156759069371E-2</v>
      </c>
      <c r="Y257" s="2"/>
    </row>
    <row r="258" spans="1:25" x14ac:dyDescent="0.2">
      <c r="A258">
        <v>735</v>
      </c>
      <c r="B258" s="13">
        <f>Messdaten!Q258-Messdaten!C258</f>
        <v>-275.48312999999996</v>
      </c>
      <c r="C258">
        <f t="shared" si="29"/>
        <v>4.2371997637674118E-3</v>
      </c>
      <c r="D258">
        <f t="shared" si="30"/>
        <v>-4.6184158085571587E-5</v>
      </c>
      <c r="M258">
        <v>655</v>
      </c>
      <c r="N258" s="13">
        <f>Messdaten!Z258-Messdaten!L258</f>
        <v>506091.94224999996</v>
      </c>
      <c r="O258">
        <f t="shared" si="31"/>
        <v>0.7359969328197149</v>
      </c>
      <c r="P258">
        <f t="shared" si="32"/>
        <v>183970.68326206016</v>
      </c>
      <c r="Q258">
        <v>735</v>
      </c>
      <c r="R258">
        <f>Messdaten!AE258-Messdaten!C258</f>
        <v>6571.9405200000001</v>
      </c>
      <c r="S258">
        <f t="shared" si="33"/>
        <v>6.5079111598851325E-2</v>
      </c>
      <c r="U258">
        <v>735</v>
      </c>
      <c r="V258">
        <f>Messdaten!AH258-Messdaten!C258</f>
        <v>2683.8881700000002</v>
      </c>
      <c r="W258">
        <f t="shared" si="34"/>
        <v>3.1761357148606298E-2</v>
      </c>
    </row>
    <row r="259" spans="1:25" x14ac:dyDescent="0.2">
      <c r="A259">
        <v>736</v>
      </c>
      <c r="B259" s="13">
        <f>Messdaten!Q259-Messdaten!C259</f>
        <v>-96.981520000000046</v>
      </c>
      <c r="C259">
        <f t="shared" ref="C259:C322" si="35">(B259-MIN(B:B))/(MAX(B:B)-MIN(B:B))</f>
        <v>5.7149176481641863E-3</v>
      </c>
      <c r="D259">
        <f t="shared" si="30"/>
        <v>-1.6258744595572966E-5</v>
      </c>
      <c r="M259">
        <v>656</v>
      </c>
      <c r="N259" s="13">
        <f>Messdaten!Z259-Messdaten!L259</f>
        <v>474326.75919000001</v>
      </c>
      <c r="O259">
        <f t="shared" si="31"/>
        <v>0.68982875539532273</v>
      </c>
      <c r="P259">
        <f t="shared" si="32"/>
        <v>172423.64616537813</v>
      </c>
      <c r="Q259">
        <v>736</v>
      </c>
      <c r="R259">
        <f>Messdaten!AE259-Messdaten!C259</f>
        <v>6010.0176599999995</v>
      </c>
      <c r="S259">
        <f t="shared" si="33"/>
        <v>5.9633620703546032E-2</v>
      </c>
      <c r="U259">
        <v>736</v>
      </c>
      <c r="V259">
        <f>Messdaten!AH259-Messdaten!C259</f>
        <v>2774.0068099999999</v>
      </c>
      <c r="W259">
        <f t="shared" si="34"/>
        <v>3.2660846176830474E-2</v>
      </c>
      <c r="Y259" s="2"/>
    </row>
    <row r="260" spans="1:25" x14ac:dyDescent="0.2">
      <c r="A260">
        <v>737</v>
      </c>
      <c r="B260" s="13">
        <f>Messdaten!Q260-Messdaten!C260</f>
        <v>213.20651999999995</v>
      </c>
      <c r="C260">
        <f t="shared" si="35"/>
        <v>8.2827959672111817E-3</v>
      </c>
      <c r="D260">
        <f t="shared" ref="D260:D323" si="36">B260/SUM(B:B)</f>
        <v>3.5743617493218477E-5</v>
      </c>
      <c r="M260">
        <v>657</v>
      </c>
      <c r="N260" s="13">
        <f>Messdaten!Z260-Messdaten!L260</f>
        <v>439700.94547000004</v>
      </c>
      <c r="O260">
        <f>(N260-MIN(N:N))/(MAX(N:N)-MIN(N:N))</f>
        <v>0.63950287790016214</v>
      </c>
      <c r="P260">
        <f t="shared" ref="P260:P323" si="37">N260/MAX(N:N)*250000</f>
        <v>159836.73442706303</v>
      </c>
      <c r="Q260">
        <v>737</v>
      </c>
      <c r="R260">
        <f>Messdaten!AE260-Messdaten!C260</f>
        <v>5960.5294699999995</v>
      </c>
      <c r="S260">
        <f t="shared" ref="S260:S323" si="38">(R260-MIN(R:R))/(MAX(R:R)-MIN(R:R))</f>
        <v>5.9154039773042261E-2</v>
      </c>
      <c r="U260">
        <v>737</v>
      </c>
      <c r="V260">
        <f>Messdaten!AH260-Messdaten!C260</f>
        <v>2332.5643600000003</v>
      </c>
      <c r="W260">
        <f t="shared" ref="W260:W323" si="39">(V260-MIN(V:V))/(MAX(V:V)-MIN(V:V))</f>
        <v>2.8254736182633928E-2</v>
      </c>
    </row>
    <row r="261" spans="1:25" x14ac:dyDescent="0.2">
      <c r="A261">
        <v>738</v>
      </c>
      <c r="B261" s="13">
        <f>Messdaten!Q261-Messdaten!C261</f>
        <v>19.761819999999943</v>
      </c>
      <c r="C261">
        <f t="shared" si="35"/>
        <v>6.6813723563442047E-3</v>
      </c>
      <c r="D261">
        <f t="shared" si="36"/>
        <v>3.3130268954712681E-6</v>
      </c>
      <c r="M261">
        <v>658</v>
      </c>
      <c r="N261" s="13">
        <f>Messdaten!Z261-Messdaten!L261</f>
        <v>412495.8971</v>
      </c>
      <c r="O261">
        <f>(N261-MIN(N:N))/(MAX(N:N)-MIN(N:N))</f>
        <v>0.5999624950346546</v>
      </c>
      <c r="P261">
        <f t="shared" si="37"/>
        <v>149947.36271615373</v>
      </c>
      <c r="Q261">
        <v>738</v>
      </c>
      <c r="R261">
        <f>Messdaten!AE261-Messdaten!C261</f>
        <v>5741.1829900000002</v>
      </c>
      <c r="S261">
        <f t="shared" si="38"/>
        <v>5.7028393452553963E-2</v>
      </c>
      <c r="U261">
        <v>738</v>
      </c>
      <c r="V261">
        <f>Messdaten!AH261-Messdaten!C261</f>
        <v>2442.6046699999997</v>
      </c>
      <c r="W261">
        <f t="shared" si="39"/>
        <v>2.9353066689035125E-2</v>
      </c>
      <c r="Y261" s="2"/>
    </row>
    <row r="262" spans="1:25" x14ac:dyDescent="0.2">
      <c r="A262">
        <v>739</v>
      </c>
      <c r="B262" s="13">
        <f>Messdaten!Q262-Messdaten!C262</f>
        <v>202.14954</v>
      </c>
      <c r="C262">
        <f t="shared" si="35"/>
        <v>8.1912612348722554E-3</v>
      </c>
      <c r="D262">
        <f t="shared" si="36"/>
        <v>3.3889938423037296E-5</v>
      </c>
      <c r="M262">
        <v>659</v>
      </c>
      <c r="N262" s="13">
        <f>Messdaten!Z262-Messdaten!L262</f>
        <v>373893.19617000001</v>
      </c>
      <c r="O262">
        <f>(N262-MIN(N:N))/(MAX(N:N)-MIN(N:N))</f>
        <v>0.54385652699314724</v>
      </c>
      <c r="P262">
        <f t="shared" si="37"/>
        <v>135914.80326800322</v>
      </c>
      <c r="Q262">
        <v>739</v>
      </c>
      <c r="R262">
        <f>Messdaten!AE262-Messdaten!C262</f>
        <v>6138.20363</v>
      </c>
      <c r="S262">
        <f t="shared" si="38"/>
        <v>6.0875847319030015E-2</v>
      </c>
      <c r="U262">
        <v>739</v>
      </c>
      <c r="V262">
        <f>Messdaten!AH262-Messdaten!C262</f>
        <v>2545.15436</v>
      </c>
      <c r="W262">
        <f t="shared" si="39"/>
        <v>3.0376632080199389E-2</v>
      </c>
    </row>
    <row r="263" spans="1:25" x14ac:dyDescent="0.2">
      <c r="A263">
        <v>740</v>
      </c>
      <c r="B263" s="13">
        <f>Messdaten!Q263-Messdaten!C263</f>
        <v>-77.113450000000057</v>
      </c>
      <c r="C263">
        <f t="shared" si="35"/>
        <v>5.879394609282055E-3</v>
      </c>
      <c r="D263">
        <f t="shared" si="36"/>
        <v>-1.2927905114639229E-5</v>
      </c>
      <c r="M263">
        <v>660</v>
      </c>
      <c r="N263" s="13">
        <f>Messdaten!Z263-Messdaten!L263</f>
        <v>345227.72904000001</v>
      </c>
      <c r="O263">
        <f>(N263-MIN(N:N))/(MAX(N:N)-MIN(N:N))</f>
        <v>0.50219354114127468</v>
      </c>
      <c r="P263">
        <f t="shared" si="37"/>
        <v>125494.55126698014</v>
      </c>
      <c r="Q263">
        <v>740</v>
      </c>
      <c r="R263">
        <f>Messdaten!AE263-Messdaten!C263</f>
        <v>5397.5205000000005</v>
      </c>
      <c r="S263">
        <f t="shared" si="38"/>
        <v>5.3698023585855632E-2</v>
      </c>
      <c r="U263">
        <v>740</v>
      </c>
      <c r="V263">
        <f>Messdaten!AH263-Messdaten!C263</f>
        <v>2456.9809</v>
      </c>
      <c r="W263">
        <f t="shared" si="39"/>
        <v>2.9496558214786379E-2</v>
      </c>
      <c r="Y263" s="2"/>
    </row>
    <row r="264" spans="1:25" x14ac:dyDescent="0.2">
      <c r="A264">
        <v>741</v>
      </c>
      <c r="B264" s="13">
        <f>Messdaten!Q264-Messdaten!C264</f>
        <v>162.18081999999993</v>
      </c>
      <c r="C264">
        <f t="shared" si="35"/>
        <v>7.8603819091314555E-3</v>
      </c>
      <c r="D264">
        <f t="shared" si="36"/>
        <v>2.7189267921152295E-5</v>
      </c>
      <c r="P264">
        <f t="shared" si="37"/>
        <v>0</v>
      </c>
      <c r="Q264">
        <v>741</v>
      </c>
      <c r="R264">
        <f>Messdaten!AE264-Messdaten!C264</f>
        <v>4906.6608899999992</v>
      </c>
      <c r="S264">
        <f t="shared" si="38"/>
        <v>4.8941193552053279E-2</v>
      </c>
      <c r="U264">
        <v>741</v>
      </c>
      <c r="V264">
        <f>Messdaten!AH264-Messdaten!C264</f>
        <v>2433.5540100000003</v>
      </c>
      <c r="W264">
        <f t="shared" si="39"/>
        <v>2.9262730556929861E-2</v>
      </c>
    </row>
    <row r="265" spans="1:25" x14ac:dyDescent="0.2">
      <c r="A265">
        <v>742</v>
      </c>
      <c r="B265" s="13">
        <f>Messdaten!Q265-Messdaten!C265</f>
        <v>-108.10379</v>
      </c>
      <c r="C265">
        <f t="shared" si="35"/>
        <v>5.6228424153744669E-3</v>
      </c>
      <c r="D265">
        <f t="shared" si="36"/>
        <v>-1.812336939474092E-5</v>
      </c>
      <c r="P265">
        <f t="shared" si="37"/>
        <v>0</v>
      </c>
      <c r="Q265">
        <v>742</v>
      </c>
      <c r="R265">
        <f>Messdaten!AE265-Messdaten!C265</f>
        <v>4943.9853899999998</v>
      </c>
      <c r="S265">
        <f t="shared" si="38"/>
        <v>4.9302898404071274E-2</v>
      </c>
      <c r="U265">
        <v>742</v>
      </c>
      <c r="V265">
        <f>Messdaten!AH265-Messdaten!C265</f>
        <v>1957.2293500000001</v>
      </c>
      <c r="W265">
        <f t="shared" si="39"/>
        <v>2.4508455464200843E-2</v>
      </c>
    </row>
    <row r="266" spans="1:25" x14ac:dyDescent="0.2">
      <c r="A266">
        <v>743</v>
      </c>
      <c r="B266" s="13">
        <f>Messdaten!Q266-Messdaten!C266</f>
        <v>-43.470109999999977</v>
      </c>
      <c r="C266">
        <f t="shared" si="35"/>
        <v>6.1579095493368898E-3</v>
      </c>
      <c r="D266">
        <f t="shared" si="36"/>
        <v>-7.2876710535312468E-6</v>
      </c>
      <c r="P266">
        <f t="shared" si="37"/>
        <v>0</v>
      </c>
      <c r="Q266">
        <v>743</v>
      </c>
      <c r="R266">
        <f>Messdaten!AE266-Messdaten!C266</f>
        <v>5505.8118999999997</v>
      </c>
      <c r="S266">
        <f t="shared" si="38"/>
        <v>5.4747455589280195E-2</v>
      </c>
      <c r="U266">
        <v>743</v>
      </c>
      <c r="V266">
        <f>Messdaten!AH266-Messdaten!C266</f>
        <v>2001.1324</v>
      </c>
      <c r="W266">
        <f t="shared" si="39"/>
        <v>2.4946659056494042E-2</v>
      </c>
    </row>
    <row r="267" spans="1:25" x14ac:dyDescent="0.2">
      <c r="A267">
        <v>744</v>
      </c>
      <c r="B267" s="13">
        <f>Messdaten!Q267-Messdaten!C267</f>
        <v>235.72209999999995</v>
      </c>
      <c r="C267">
        <f t="shared" si="35"/>
        <v>8.4691902257479322E-3</v>
      </c>
      <c r="D267">
        <f t="shared" si="36"/>
        <v>3.9518306368389652E-5</v>
      </c>
      <c r="P267">
        <f t="shared" si="37"/>
        <v>0</v>
      </c>
      <c r="Q267">
        <v>744</v>
      </c>
      <c r="R267">
        <f>Messdaten!AE267-Messdaten!C267</f>
        <v>4814.0819700000002</v>
      </c>
      <c r="S267">
        <f t="shared" si="38"/>
        <v>4.8044028297097835E-2</v>
      </c>
      <c r="U267">
        <v>744</v>
      </c>
      <c r="V267">
        <f>Messdaten!AH267-Messdaten!C267</f>
        <v>1707.91291</v>
      </c>
      <c r="W267">
        <f t="shared" si="39"/>
        <v>2.2019986903912842E-2</v>
      </c>
    </row>
    <row r="268" spans="1:25" x14ac:dyDescent="0.2">
      <c r="A268">
        <v>745</v>
      </c>
      <c r="B268" s="13">
        <f>Messdaten!Q268-Messdaten!C268</f>
        <v>-384.77239999999995</v>
      </c>
      <c r="C268">
        <f t="shared" si="35"/>
        <v>3.3324532527882222E-3</v>
      </c>
      <c r="D268">
        <f t="shared" si="36"/>
        <v>-6.450627066915054E-5</v>
      </c>
      <c r="P268">
        <f t="shared" si="37"/>
        <v>0</v>
      </c>
      <c r="Q268">
        <v>745</v>
      </c>
      <c r="R268">
        <f>Messdaten!AE268-Messdaten!C268</f>
        <v>4521.5125399999997</v>
      </c>
      <c r="S268">
        <f t="shared" si="38"/>
        <v>4.520879186035693E-2</v>
      </c>
      <c r="U268">
        <v>745</v>
      </c>
      <c r="V268">
        <f>Messdaten!AH268-Messdaten!C268</f>
        <v>1221.8788</v>
      </c>
      <c r="W268">
        <f t="shared" si="39"/>
        <v>1.716880018729457E-2</v>
      </c>
    </row>
    <row r="269" spans="1:25" x14ac:dyDescent="0.2">
      <c r="A269">
        <v>746</v>
      </c>
      <c r="B269" s="13">
        <f>Messdaten!Q269-Messdaten!C269</f>
        <v>-16.337130000000002</v>
      </c>
      <c r="C269">
        <f t="shared" si="35"/>
        <v>6.3825287547489866E-3</v>
      </c>
      <c r="D269">
        <f t="shared" si="36"/>
        <v>-2.7388849349306227E-6</v>
      </c>
      <c r="P269">
        <f t="shared" si="37"/>
        <v>0</v>
      </c>
      <c r="Q269">
        <v>746</v>
      </c>
      <c r="R269">
        <f>Messdaten!AE269-Messdaten!C269</f>
        <v>4101.6897799999997</v>
      </c>
      <c r="S269">
        <f t="shared" si="38"/>
        <v>4.1140366850522053E-2</v>
      </c>
      <c r="U269">
        <v>746</v>
      </c>
      <c r="V269">
        <f>Messdaten!AH269-Messdaten!C269</f>
        <v>2064.5030199999997</v>
      </c>
      <c r="W269">
        <f t="shared" si="39"/>
        <v>2.5579171679873215E-2</v>
      </c>
    </row>
    <row r="270" spans="1:25" x14ac:dyDescent="0.2">
      <c r="A270">
        <v>747</v>
      </c>
      <c r="B270" s="13">
        <f>Messdaten!Q270-Messdaten!C270</f>
        <v>351.09827999999999</v>
      </c>
      <c r="C270">
        <f t="shared" si="35"/>
        <v>9.4243269587969032E-3</v>
      </c>
      <c r="D270">
        <f t="shared" si="36"/>
        <v>5.8860876406814019E-5</v>
      </c>
      <c r="P270">
        <f t="shared" si="37"/>
        <v>0</v>
      </c>
      <c r="Q270">
        <v>747</v>
      </c>
      <c r="R270">
        <f>Messdaten!AE270-Messdaten!C270</f>
        <v>4189.3265599999995</v>
      </c>
      <c r="S270">
        <f t="shared" si="38"/>
        <v>4.198963873738544E-2</v>
      </c>
      <c r="U270">
        <v>747</v>
      </c>
      <c r="V270">
        <f>Messdaten!AH270-Messdaten!C270</f>
        <v>1993.5272699999998</v>
      </c>
      <c r="W270">
        <f t="shared" si="39"/>
        <v>2.4870750998036668E-2</v>
      </c>
    </row>
    <row r="271" spans="1:25" x14ac:dyDescent="0.2">
      <c r="A271">
        <v>748</v>
      </c>
      <c r="B271" s="13">
        <f>Messdaten!Q271-Messdaten!C271</f>
        <v>-85.963660000000004</v>
      </c>
      <c r="C271">
        <f t="shared" si="35"/>
        <v>5.8061285272693096E-3</v>
      </c>
      <c r="D271">
        <f t="shared" si="36"/>
        <v>-1.4411623909799223E-5</v>
      </c>
      <c r="P271">
        <f t="shared" si="37"/>
        <v>0</v>
      </c>
      <c r="Q271">
        <v>748</v>
      </c>
      <c r="R271">
        <f>Messdaten!AE271-Messdaten!C271</f>
        <v>3904.7177100000004</v>
      </c>
      <c r="S271">
        <f t="shared" si="38"/>
        <v>3.9231546814593218E-2</v>
      </c>
      <c r="U271">
        <v>748</v>
      </c>
      <c r="V271">
        <f>Messdaten!AH271-Messdaten!C271</f>
        <v>1521.72964</v>
      </c>
      <c r="W271">
        <f t="shared" si="39"/>
        <v>2.016166093934103E-2</v>
      </c>
    </row>
    <row r="272" spans="1:25" x14ac:dyDescent="0.2">
      <c r="A272">
        <v>749</v>
      </c>
      <c r="B272" s="13">
        <f>Messdaten!Q272-Messdaten!C272</f>
        <v>-87.484109999999987</v>
      </c>
      <c r="C272">
        <f t="shared" si="35"/>
        <v>5.7935415474805498E-3</v>
      </c>
      <c r="D272">
        <f t="shared" si="36"/>
        <v>-1.4666524103365363E-5</v>
      </c>
      <c r="P272">
        <f t="shared" si="37"/>
        <v>0</v>
      </c>
      <c r="Q272">
        <v>749</v>
      </c>
      <c r="R272">
        <f>Messdaten!AE272-Messdaten!C272</f>
        <v>3845.1973200000002</v>
      </c>
      <c r="S272">
        <f t="shared" si="38"/>
        <v>3.8654745682441344E-2</v>
      </c>
      <c r="U272">
        <v>749</v>
      </c>
      <c r="V272">
        <f>Messdaten!AH272-Messdaten!C272</f>
        <v>1902.5571400000001</v>
      </c>
      <c r="W272">
        <f t="shared" si="39"/>
        <v>2.396276310750562E-2</v>
      </c>
    </row>
    <row r="273" spans="1:23" x14ac:dyDescent="0.2">
      <c r="A273">
        <v>750</v>
      </c>
      <c r="B273" s="13">
        <f>Messdaten!Q273-Messdaten!C273</f>
        <v>-238.51886999999999</v>
      </c>
      <c r="C273">
        <f t="shared" si="35"/>
        <v>4.5432067969000105E-3</v>
      </c>
      <c r="D273">
        <f t="shared" si="36"/>
        <v>-3.9987178882684756E-5</v>
      </c>
      <c r="P273">
        <f t="shared" si="37"/>
        <v>0</v>
      </c>
      <c r="Q273">
        <v>750</v>
      </c>
      <c r="R273">
        <f>Messdaten!AE273-Messdaten!C273</f>
        <v>3856.9059999999999</v>
      </c>
      <c r="S273">
        <f t="shared" si="38"/>
        <v>3.8768212342858113E-2</v>
      </c>
      <c r="U273">
        <v>750</v>
      </c>
      <c r="V273">
        <f>Messdaten!AH273-Messdaten!C273</f>
        <v>2224.0663599999998</v>
      </c>
      <c r="W273">
        <f t="shared" si="39"/>
        <v>2.7171799727043082E-2</v>
      </c>
    </row>
    <row r="274" spans="1:23" x14ac:dyDescent="0.2">
      <c r="A274">
        <v>751</v>
      </c>
      <c r="B274" s="13">
        <f>Messdaten!Q274-Messdaten!C274</f>
        <v>238.96292000000005</v>
      </c>
      <c r="C274">
        <f t="shared" si="35"/>
        <v>8.4960192144282656E-3</v>
      </c>
      <c r="D274">
        <f t="shared" si="36"/>
        <v>4.0061622916328126E-5</v>
      </c>
      <c r="P274">
        <f t="shared" si="37"/>
        <v>0</v>
      </c>
      <c r="Q274">
        <v>751</v>
      </c>
      <c r="R274">
        <f>Messdaten!AE274-Messdaten!C274</f>
        <v>4012.0359899999999</v>
      </c>
      <c r="S274">
        <f t="shared" si="38"/>
        <v>4.0271548491406683E-2</v>
      </c>
      <c r="U274">
        <v>751</v>
      </c>
      <c r="V274">
        <f>Messdaten!AH274-Messdaten!C274</f>
        <v>1837.93993</v>
      </c>
      <c r="W274">
        <f t="shared" si="39"/>
        <v>2.3317808063471914E-2</v>
      </c>
    </row>
    <row r="275" spans="1:23" x14ac:dyDescent="0.2">
      <c r="A275">
        <v>752</v>
      </c>
      <c r="B275" s="13">
        <f>Messdaten!Q275-Messdaten!C275</f>
        <v>-180.31131999999997</v>
      </c>
      <c r="C275">
        <f t="shared" si="35"/>
        <v>5.0250754906441143E-3</v>
      </c>
      <c r="D275">
        <f t="shared" si="36"/>
        <v>-3.0228807504467097E-5</v>
      </c>
      <c r="P275">
        <f t="shared" si="37"/>
        <v>0</v>
      </c>
      <c r="Q275">
        <v>752</v>
      </c>
      <c r="R275">
        <f>Messdaten!AE275-Messdaten!C275</f>
        <v>3383.71974</v>
      </c>
      <c r="S275">
        <f t="shared" si="38"/>
        <v>3.4182651487381331E-2</v>
      </c>
      <c r="U275">
        <v>752</v>
      </c>
      <c r="V275">
        <f>Messdaten!AH275-Messdaten!C275</f>
        <v>1727.26613</v>
      </c>
      <c r="W275">
        <f t="shared" si="39"/>
        <v>2.221315458876482E-2</v>
      </c>
    </row>
    <row r="276" spans="1:23" x14ac:dyDescent="0.2">
      <c r="A276">
        <v>753</v>
      </c>
      <c r="B276" s="13">
        <f>Messdaten!Q276-Messdaten!C276</f>
        <v>265.40818999999999</v>
      </c>
      <c r="C276">
        <f t="shared" si="35"/>
        <v>8.714945242247852E-3</v>
      </c>
      <c r="D276">
        <f t="shared" si="36"/>
        <v>4.4495115922943885E-5</v>
      </c>
      <c r="P276">
        <f t="shared" si="37"/>
        <v>0</v>
      </c>
      <c r="Q276">
        <v>753</v>
      </c>
      <c r="R276">
        <f>Messdaten!AE276-Messdaten!C276</f>
        <v>3313.3427700000002</v>
      </c>
      <c r="S276">
        <f t="shared" si="38"/>
        <v>3.3500641238903145E-2</v>
      </c>
      <c r="U276">
        <v>753</v>
      </c>
      <c r="V276">
        <f>Messdaten!AH276-Messdaten!C276</f>
        <v>2180.8634999999999</v>
      </c>
      <c r="W276">
        <f t="shared" si="39"/>
        <v>2.6740584846770755E-2</v>
      </c>
    </row>
    <row r="277" spans="1:23" x14ac:dyDescent="0.2">
      <c r="A277">
        <v>754</v>
      </c>
      <c r="B277" s="13">
        <f>Messdaten!Q277-Messdaten!C277</f>
        <v>-241.55145000000005</v>
      </c>
      <c r="C277">
        <f t="shared" si="35"/>
        <v>4.518101714083872E-3</v>
      </c>
      <c r="D277">
        <f t="shared" si="36"/>
        <v>-4.0495584439595431E-5</v>
      </c>
      <c r="P277">
        <f t="shared" si="37"/>
        <v>0</v>
      </c>
      <c r="Q277">
        <v>754</v>
      </c>
      <c r="R277">
        <f>Messdaten!AE277-Messdaten!C277</f>
        <v>2912.0733499999997</v>
      </c>
      <c r="S277">
        <f t="shared" si="38"/>
        <v>2.9612013228335218E-2</v>
      </c>
      <c r="U277">
        <v>754</v>
      </c>
      <c r="V277">
        <f>Messdaten!AH277-Messdaten!C277</f>
        <v>1034.09239</v>
      </c>
      <c r="W277">
        <f t="shared" si="39"/>
        <v>1.5294473017636803E-2</v>
      </c>
    </row>
    <row r="278" spans="1:23" x14ac:dyDescent="0.2">
      <c r="A278">
        <v>755</v>
      </c>
      <c r="B278" s="13">
        <f>Messdaten!Q278-Messdaten!C278</f>
        <v>-147.07416999999998</v>
      </c>
      <c r="C278">
        <f t="shared" si="35"/>
        <v>5.3002278042920325E-3</v>
      </c>
      <c r="D278">
        <f t="shared" si="36"/>
        <v>-2.4656670328902645E-5</v>
      </c>
      <c r="P278">
        <f t="shared" si="37"/>
        <v>0</v>
      </c>
      <c r="Q278">
        <v>755</v>
      </c>
      <c r="R278">
        <f>Messdaten!AE278-Messdaten!C278</f>
        <v>3033.3764200000001</v>
      </c>
      <c r="S278">
        <f t="shared" si="38"/>
        <v>3.0787538928175196E-2</v>
      </c>
      <c r="U278">
        <v>755</v>
      </c>
      <c r="V278">
        <f>Messdaten!AH278-Messdaten!C278</f>
        <v>1320.8699499999998</v>
      </c>
      <c r="W278">
        <f t="shared" si="39"/>
        <v>1.8156847203053952E-2</v>
      </c>
    </row>
    <row r="279" spans="1:23" x14ac:dyDescent="0.2">
      <c r="A279">
        <v>756</v>
      </c>
      <c r="B279" s="13">
        <f>Messdaten!Q279-Messdaten!C279</f>
        <v>-162.46118999999999</v>
      </c>
      <c r="C279">
        <f t="shared" si="35"/>
        <v>5.1728470224516286E-3</v>
      </c>
      <c r="D279">
        <f t="shared" si="36"/>
        <v>-2.7236271352550999E-5</v>
      </c>
      <c r="P279">
        <f t="shared" si="37"/>
        <v>0</v>
      </c>
      <c r="Q279">
        <v>756</v>
      </c>
      <c r="R279">
        <f>Messdaten!AE279-Messdaten!C279</f>
        <v>2895.6793000000002</v>
      </c>
      <c r="S279">
        <f t="shared" si="38"/>
        <v>2.9453141510583467E-2</v>
      </c>
      <c r="U279">
        <v>756</v>
      </c>
      <c r="V279">
        <f>Messdaten!AH279-Messdaten!C279</f>
        <v>900.11332000000004</v>
      </c>
      <c r="W279">
        <f t="shared" si="39"/>
        <v>1.3957205794377783E-2</v>
      </c>
    </row>
    <row r="280" spans="1:23" x14ac:dyDescent="0.2">
      <c r="A280">
        <v>757</v>
      </c>
      <c r="B280" s="13">
        <f>Messdaten!Q280-Messdaten!C280</f>
        <v>-200.31479999999999</v>
      </c>
      <c r="C280">
        <f t="shared" si="35"/>
        <v>4.8594775436778485E-3</v>
      </c>
      <c r="D280">
        <f t="shared" si="36"/>
        <v>-3.3582348182553527E-5</v>
      </c>
      <c r="P280">
        <f t="shared" si="37"/>
        <v>0</v>
      </c>
      <c r="Q280">
        <v>757</v>
      </c>
      <c r="R280">
        <f>Messdaten!AE280-Messdaten!C280</f>
        <v>2643.3554199999999</v>
      </c>
      <c r="S280">
        <f t="shared" si="38"/>
        <v>2.7007917283172415E-2</v>
      </c>
      <c r="U280">
        <v>757</v>
      </c>
      <c r="V280">
        <f>Messdaten!AH280-Messdaten!C280</f>
        <v>984.85770000000002</v>
      </c>
      <c r="W280">
        <f t="shared" si="39"/>
        <v>1.4803053446025217E-2</v>
      </c>
    </row>
    <row r="281" spans="1:23" x14ac:dyDescent="0.2">
      <c r="A281">
        <v>758</v>
      </c>
      <c r="B281" s="13">
        <f>Messdaten!Q281-Messdaten!C281</f>
        <v>356.7425199999999</v>
      </c>
      <c r="C281">
        <f t="shared" si="35"/>
        <v>9.4710525563521733E-3</v>
      </c>
      <c r="D281">
        <f t="shared" si="36"/>
        <v>5.9807121182067234E-5</v>
      </c>
      <c r="P281">
        <f t="shared" si="37"/>
        <v>0</v>
      </c>
      <c r="Q281">
        <v>758</v>
      </c>
      <c r="R281">
        <f>Messdaten!AE281-Messdaten!C281</f>
        <v>3131.4463299999998</v>
      </c>
      <c r="S281">
        <f t="shared" si="38"/>
        <v>3.1737916355440585E-2</v>
      </c>
      <c r="U281">
        <v>758</v>
      </c>
      <c r="V281">
        <f>Messdaten!AH281-Messdaten!C281</f>
        <v>1653.0425999999998</v>
      </c>
      <c r="W281">
        <f t="shared" si="39"/>
        <v>2.1472317278402962E-2</v>
      </c>
    </row>
    <row r="282" spans="1:23" x14ac:dyDescent="0.2">
      <c r="A282">
        <v>759</v>
      </c>
      <c r="B282" s="13">
        <f>Messdaten!Q282-Messdaten!C282</f>
        <v>260.01445999999999</v>
      </c>
      <c r="C282">
        <f t="shared" si="35"/>
        <v>8.6702934809298055E-3</v>
      </c>
      <c r="D282">
        <f t="shared" si="36"/>
        <v>4.359086861389491E-5</v>
      </c>
      <c r="P282">
        <f t="shared" si="37"/>
        <v>0</v>
      </c>
      <c r="Q282">
        <v>759</v>
      </c>
      <c r="R282">
        <f>Messdaten!AE282-Messdaten!C282</f>
        <v>2557.6329599999999</v>
      </c>
      <c r="S282">
        <f t="shared" si="38"/>
        <v>2.6177196718692852E-2</v>
      </c>
      <c r="U282">
        <v>759</v>
      </c>
      <c r="V282">
        <f>Messdaten!AH282-Messdaten!C282</f>
        <v>817.36973</v>
      </c>
      <c r="W282">
        <f t="shared" si="39"/>
        <v>1.313132835813507E-2</v>
      </c>
    </row>
    <row r="283" spans="1:23" x14ac:dyDescent="0.2">
      <c r="A283">
        <v>760</v>
      </c>
      <c r="B283" s="13">
        <f>Messdaten!Q283-Messdaten!C283</f>
        <v>-156.68581000000006</v>
      </c>
      <c r="C283">
        <f t="shared" si="35"/>
        <v>5.2206582568443457E-3</v>
      </c>
      <c r="D283">
        <f t="shared" si="36"/>
        <v>-2.6268041236520861E-5</v>
      </c>
      <c r="P283">
        <f t="shared" si="37"/>
        <v>0</v>
      </c>
      <c r="Q283">
        <v>760</v>
      </c>
      <c r="R283">
        <f>Messdaten!AE283-Messdaten!C283</f>
        <v>2457.4605799999999</v>
      </c>
      <c r="S283">
        <f t="shared" si="38"/>
        <v>2.5206444642062509E-2</v>
      </c>
      <c r="U283">
        <v>760</v>
      </c>
      <c r="V283">
        <f>Messdaten!AH283-Messdaten!C283</f>
        <v>1301.53964</v>
      </c>
      <c r="W283">
        <f t="shared" si="39"/>
        <v>1.7963908186695382E-2</v>
      </c>
    </row>
    <row r="284" spans="1:23" x14ac:dyDescent="0.2">
      <c r="A284">
        <v>761</v>
      </c>
      <c r="B284" s="13">
        <f>Messdaten!Q284-Messdaten!C284</f>
        <v>-606.61937</v>
      </c>
      <c r="C284">
        <f t="shared" si="35"/>
        <v>1.4959026739545917E-3</v>
      </c>
      <c r="D284">
        <f t="shared" si="36"/>
        <v>-1.0169844114174922E-4</v>
      </c>
      <c r="P284">
        <f t="shared" si="37"/>
        <v>0</v>
      </c>
      <c r="Q284">
        <v>761</v>
      </c>
      <c r="R284">
        <f>Messdaten!AE284-Messdaten!C284</f>
        <v>1364.5168699999999</v>
      </c>
      <c r="S284">
        <f t="shared" si="38"/>
        <v>1.4614928536299896E-2</v>
      </c>
      <c r="U284">
        <v>761</v>
      </c>
      <c r="V284">
        <f>Messdaten!AH284-Messdaten!C284</f>
        <v>166.16561000000002</v>
      </c>
      <c r="W284">
        <f t="shared" si="39"/>
        <v>6.6315524951794987E-3</v>
      </c>
    </row>
    <row r="285" spans="1:23" x14ac:dyDescent="0.2">
      <c r="A285">
        <v>762</v>
      </c>
      <c r="B285" s="13">
        <f>Messdaten!Q285-Messdaten!C285</f>
        <v>-370.57664999999997</v>
      </c>
      <c r="C285">
        <f t="shared" si="35"/>
        <v>3.4499721572811594E-3</v>
      </c>
      <c r="D285">
        <f t="shared" si="36"/>
        <v>-6.2126383515468021E-5</v>
      </c>
      <c r="P285">
        <f t="shared" si="37"/>
        <v>0</v>
      </c>
      <c r="Q285">
        <v>762</v>
      </c>
      <c r="R285">
        <f>Messdaten!AE285-Messdaten!C285</f>
        <v>1937.4219200000002</v>
      </c>
      <c r="S285">
        <f t="shared" si="38"/>
        <v>2.016684581129637E-2</v>
      </c>
      <c r="U285">
        <v>762</v>
      </c>
      <c r="V285">
        <f>Messdaten!AH285-Messdaten!C285</f>
        <v>566.23152000000005</v>
      </c>
      <c r="W285">
        <f t="shared" si="39"/>
        <v>1.0624676410626095E-2</v>
      </c>
    </row>
    <row r="286" spans="1:23" x14ac:dyDescent="0.2">
      <c r="A286">
        <v>763</v>
      </c>
      <c r="B286" s="13">
        <f>Messdaten!Q286-Messdaten!C286</f>
        <v>-188.84164999999996</v>
      </c>
      <c r="C286">
        <f t="shared" si="35"/>
        <v>4.9544575214235222E-3</v>
      </c>
      <c r="D286">
        <f t="shared" si="36"/>
        <v>-3.1658899101154321E-5</v>
      </c>
      <c r="P286">
        <f t="shared" si="37"/>
        <v>0</v>
      </c>
      <c r="Q286">
        <v>763</v>
      </c>
      <c r="R286">
        <f>Messdaten!AE286-Messdaten!C286</f>
        <v>2165.2000200000002</v>
      </c>
      <c r="S286">
        <f t="shared" si="38"/>
        <v>2.2374201407578641E-2</v>
      </c>
      <c r="U286">
        <v>763</v>
      </c>
      <c r="V286">
        <f>Messdaten!AH286-Messdaten!C286</f>
        <v>1092.4510799999998</v>
      </c>
      <c r="W286">
        <f t="shared" si="39"/>
        <v>1.5876960740005181E-2</v>
      </c>
    </row>
    <row r="287" spans="1:23" x14ac:dyDescent="0.2">
      <c r="A287">
        <v>764</v>
      </c>
      <c r="B287" s="13">
        <f>Messdaten!Q287-Messdaten!C287</f>
        <v>-8.3853600000001052</v>
      </c>
      <c r="C287">
        <f t="shared" si="35"/>
        <v>6.4483571399473593E-3</v>
      </c>
      <c r="D287">
        <f t="shared" si="36"/>
        <v>-1.4057876859625977E-6</v>
      </c>
      <c r="P287">
        <f t="shared" si="37"/>
        <v>0</v>
      </c>
      <c r="Q287">
        <v>764</v>
      </c>
      <c r="R287">
        <f>Messdaten!AE287-Messdaten!C287</f>
        <v>2789.1772099999998</v>
      </c>
      <c r="S287">
        <f t="shared" si="38"/>
        <v>2.8421049380667293E-2</v>
      </c>
      <c r="U287">
        <v>764</v>
      </c>
      <c r="V287">
        <f>Messdaten!AH287-Messdaten!C287</f>
        <v>799.36626999999999</v>
      </c>
      <c r="W287">
        <f t="shared" si="39"/>
        <v>1.2951632850745333E-2</v>
      </c>
    </row>
    <row r="288" spans="1:23" x14ac:dyDescent="0.2">
      <c r="A288">
        <v>765</v>
      </c>
      <c r="B288" s="13">
        <f>Messdaten!Q288-Messdaten!C288</f>
        <v>-85.447589999999877</v>
      </c>
      <c r="C288">
        <f t="shared" si="35"/>
        <v>5.810400790520049E-3</v>
      </c>
      <c r="D288">
        <f t="shared" si="36"/>
        <v>-1.4325105877049897E-5</v>
      </c>
      <c r="P288">
        <f t="shared" si="37"/>
        <v>0</v>
      </c>
      <c r="Q288">
        <v>765</v>
      </c>
      <c r="R288">
        <f>Messdaten!AE288-Messdaten!C288</f>
        <v>2062.0628500000003</v>
      </c>
      <c r="S288">
        <f t="shared" si="38"/>
        <v>2.1374718097356034E-2</v>
      </c>
      <c r="U288">
        <v>765</v>
      </c>
      <c r="V288">
        <f>Messdaten!AH288-Messdaten!C288</f>
        <v>730.52804000000015</v>
      </c>
      <c r="W288">
        <f t="shared" si="39"/>
        <v>1.2264547109023393E-2</v>
      </c>
    </row>
    <row r="289" spans="1:23" x14ac:dyDescent="0.2">
      <c r="A289">
        <v>766</v>
      </c>
      <c r="B289" s="13">
        <f>Messdaten!Q289-Messdaten!C289</f>
        <v>-35.228709999999978</v>
      </c>
      <c r="C289">
        <f t="shared" si="35"/>
        <v>6.2261356240062874E-3</v>
      </c>
      <c r="D289">
        <f t="shared" si="36"/>
        <v>-5.9060179539515027E-6</v>
      </c>
      <c r="P289">
        <f t="shared" si="37"/>
        <v>0</v>
      </c>
      <c r="Q289">
        <v>766</v>
      </c>
      <c r="R289">
        <f>Messdaten!AE289-Messdaten!C289</f>
        <v>2304.7406000000001</v>
      </c>
      <c r="S289">
        <f t="shared" si="38"/>
        <v>2.3726463456350991E-2</v>
      </c>
      <c r="U289">
        <v>766</v>
      </c>
      <c r="V289">
        <f>Messdaten!AH289-Messdaten!C289</f>
        <v>623.25202999999988</v>
      </c>
      <c r="W289">
        <f t="shared" si="39"/>
        <v>1.1193807537424581E-2</v>
      </c>
    </row>
    <row r="290" spans="1:23" x14ac:dyDescent="0.2">
      <c r="A290">
        <v>767</v>
      </c>
      <c r="B290" s="13">
        <f>Messdaten!Q290-Messdaten!C290</f>
        <v>-199.14191000000005</v>
      </c>
      <c r="C290">
        <f t="shared" si="35"/>
        <v>4.8691872629875507E-3</v>
      </c>
      <c r="D290">
        <f t="shared" si="36"/>
        <v>-3.3385715680312884E-5</v>
      </c>
      <c r="P290">
        <f t="shared" si="37"/>
        <v>0</v>
      </c>
      <c r="Q290">
        <v>767</v>
      </c>
      <c r="R290">
        <f>Messdaten!AE290-Messdaten!C290</f>
        <v>1691.8695299999999</v>
      </c>
      <c r="S290">
        <f t="shared" si="38"/>
        <v>1.7787242845747939E-2</v>
      </c>
      <c r="U290">
        <v>767</v>
      </c>
      <c r="V290">
        <f>Messdaten!AH290-Messdaten!C290</f>
        <v>483.53330999999991</v>
      </c>
      <c r="W290">
        <f t="shared" si="39"/>
        <v>9.7992519196575308E-3</v>
      </c>
    </row>
    <row r="291" spans="1:23" x14ac:dyDescent="0.2">
      <c r="A291">
        <v>768</v>
      </c>
      <c r="B291" s="13">
        <f>Messdaten!Q291-Messdaten!C291</f>
        <v>156.53962999999999</v>
      </c>
      <c r="C291">
        <f t="shared" si="35"/>
        <v>7.8136815608697216E-3</v>
      </c>
      <c r="D291">
        <f t="shared" si="36"/>
        <v>2.6243534471881764E-5</v>
      </c>
      <c r="P291">
        <f t="shared" si="37"/>
        <v>0</v>
      </c>
      <c r="Q291">
        <v>768</v>
      </c>
      <c r="R291">
        <f>Messdaten!AE291-Messdaten!C291</f>
        <v>1982.4122299999999</v>
      </c>
      <c r="S291">
        <f t="shared" si="38"/>
        <v>2.0602838615507896E-2</v>
      </c>
      <c r="U291">
        <v>768</v>
      </c>
      <c r="V291">
        <f>Messdaten!AH291-Messdaten!C291</f>
        <v>1185.7339999999999</v>
      </c>
      <c r="W291">
        <f t="shared" si="39"/>
        <v>1.6808032969465304E-2</v>
      </c>
    </row>
    <row r="292" spans="1:23" x14ac:dyDescent="0.2">
      <c r="A292">
        <v>769</v>
      </c>
      <c r="B292" s="13">
        <f>Messdaten!Q292-Messdaten!C292</f>
        <v>27.930720000000065</v>
      </c>
      <c r="C292">
        <f t="shared" si="35"/>
        <v>6.7489982428885834E-3</v>
      </c>
      <c r="D292">
        <f t="shared" si="36"/>
        <v>4.6825255249707636E-6</v>
      </c>
      <c r="P292">
        <f t="shared" si="37"/>
        <v>0</v>
      </c>
      <c r="Q292">
        <v>769</v>
      </c>
      <c r="R292">
        <f>Messdaten!AE292-Messdaten!C292</f>
        <v>1340.4006100000001</v>
      </c>
      <c r="S292">
        <f t="shared" si="38"/>
        <v>1.4381222304346965E-2</v>
      </c>
      <c r="U292">
        <v>769</v>
      </c>
      <c r="V292">
        <f>Messdaten!AH292-Messdaten!C292</f>
        <v>751.76081000000011</v>
      </c>
      <c r="W292">
        <f t="shared" si="39"/>
        <v>1.247647489281826E-2</v>
      </c>
    </row>
    <row r="293" spans="1:23" x14ac:dyDescent="0.2">
      <c r="A293">
        <v>770</v>
      </c>
      <c r="B293" s="13">
        <f>Messdaten!Q293-Messdaten!C293</f>
        <v>-712.38794000000007</v>
      </c>
      <c r="C293">
        <f t="shared" si="35"/>
        <v>6.2030212617201228E-4</v>
      </c>
      <c r="D293">
        <f t="shared" si="36"/>
        <v>-1.1943031589344398E-4</v>
      </c>
      <c r="P293">
        <f t="shared" si="37"/>
        <v>0</v>
      </c>
      <c r="Q293">
        <v>770</v>
      </c>
      <c r="R293">
        <f>Messdaten!AE293-Messdaten!C293</f>
        <v>1542.1487799999998</v>
      </c>
      <c r="S293">
        <f t="shared" si="38"/>
        <v>1.6336326645322703E-2</v>
      </c>
      <c r="U293">
        <v>770</v>
      </c>
      <c r="V293">
        <f>Messdaten!AH293-Messdaten!C293</f>
        <v>269.65087999999992</v>
      </c>
      <c r="W293">
        <f t="shared" si="39"/>
        <v>7.6644560648274299E-3</v>
      </c>
    </row>
    <row r="294" spans="1:23" x14ac:dyDescent="0.2">
      <c r="A294">
        <v>771</v>
      </c>
      <c r="B294" s="13">
        <f>Messdaten!Q294-Messdaten!C294</f>
        <v>-252.95508999999993</v>
      </c>
      <c r="C294">
        <f t="shared" si="35"/>
        <v>4.4236971718770975E-3</v>
      </c>
      <c r="D294">
        <f t="shared" si="36"/>
        <v>-4.240738031802523E-5</v>
      </c>
      <c r="P294">
        <f t="shared" si="37"/>
        <v>0</v>
      </c>
      <c r="Q294">
        <v>771</v>
      </c>
      <c r="R294">
        <f>Messdaten!AE294-Messdaten!C294</f>
        <v>1637.6617899999999</v>
      </c>
      <c r="S294">
        <f t="shared" si="38"/>
        <v>1.7261925625827259E-2</v>
      </c>
      <c r="U294">
        <v>771</v>
      </c>
      <c r="V294">
        <f>Messdaten!AH294-Messdaten!C294</f>
        <v>1146.01099</v>
      </c>
      <c r="W294">
        <f t="shared" si="39"/>
        <v>1.6411551046712814E-2</v>
      </c>
    </row>
    <row r="295" spans="1:23" x14ac:dyDescent="0.2">
      <c r="A295">
        <v>772</v>
      </c>
      <c r="B295" s="13">
        <f>Messdaten!Q295-Messdaten!C295</f>
        <v>-271.07927999999993</v>
      </c>
      <c r="C295">
        <f t="shared" si="35"/>
        <v>4.2736568461724427E-3</v>
      </c>
      <c r="D295">
        <f t="shared" si="36"/>
        <v>-4.5445862043323385E-5</v>
      </c>
      <c r="P295">
        <f t="shared" si="37"/>
        <v>0</v>
      </c>
      <c r="Q295">
        <v>772</v>
      </c>
      <c r="R295">
        <f>Messdaten!AE295-Messdaten!C295</f>
        <v>2078.6922999999997</v>
      </c>
      <c r="S295">
        <f t="shared" si="38"/>
        <v>2.1535871033132543E-2</v>
      </c>
      <c r="U295">
        <v>772</v>
      </c>
      <c r="V295">
        <f>Messdaten!AH295-Messdaten!C295</f>
        <v>1204.52874</v>
      </c>
      <c r="W295">
        <f t="shared" si="39"/>
        <v>1.6995626373208703E-2</v>
      </c>
    </row>
    <row r="296" spans="1:23" x14ac:dyDescent="0.2">
      <c r="A296">
        <v>773</v>
      </c>
      <c r="B296" s="13">
        <f>Messdaten!Q296-Messdaten!C296</f>
        <v>167.44302999999991</v>
      </c>
      <c r="C296">
        <f t="shared" si="35"/>
        <v>7.903944887798435E-3</v>
      </c>
      <c r="D296">
        <f t="shared" si="36"/>
        <v>2.8071466183236348E-5</v>
      </c>
      <c r="P296">
        <f t="shared" si="37"/>
        <v>0</v>
      </c>
      <c r="Q296">
        <v>773</v>
      </c>
      <c r="R296">
        <f>Messdaten!AE296-Messdaten!C296</f>
        <v>2005.4970599999999</v>
      </c>
      <c r="S296">
        <f t="shared" si="38"/>
        <v>2.0826549449384044E-2</v>
      </c>
      <c r="U296">
        <v>773</v>
      </c>
      <c r="V296">
        <f>Messdaten!AH296-Messdaten!C296</f>
        <v>1162.6965499999999</v>
      </c>
      <c r="W296">
        <f t="shared" si="39"/>
        <v>1.6578092376561736E-2</v>
      </c>
    </row>
    <row r="297" spans="1:23" x14ac:dyDescent="0.2">
      <c r="A297">
        <v>774</v>
      </c>
      <c r="B297" s="13">
        <f>Messdaten!Q297-Messdaten!C297</f>
        <v>-564.47284000000002</v>
      </c>
      <c r="C297">
        <f t="shared" si="35"/>
        <v>1.8448109059098394E-3</v>
      </c>
      <c r="D297">
        <f t="shared" si="36"/>
        <v>-9.4632665446960621E-5</v>
      </c>
      <c r="P297">
        <f t="shared" si="37"/>
        <v>0</v>
      </c>
      <c r="Q297">
        <v>774</v>
      </c>
      <c r="R297">
        <f>Messdaten!AE297-Messdaten!C297</f>
        <v>430.31197999999995</v>
      </c>
      <c r="S297">
        <f t="shared" si="38"/>
        <v>5.5617210856461121E-3</v>
      </c>
      <c r="U297">
        <v>774</v>
      </c>
      <c r="V297">
        <f>Messdaten!AH297-Messdaten!C297</f>
        <v>62.593709999999874</v>
      </c>
      <c r="W297">
        <f t="shared" si="39"/>
        <v>5.597784257195303E-3</v>
      </c>
    </row>
    <row r="298" spans="1:23" x14ac:dyDescent="0.2">
      <c r="A298">
        <v>775</v>
      </c>
      <c r="B298" s="13">
        <f>Messdaten!Q298-Messdaten!C298</f>
        <v>-697.64507000000003</v>
      </c>
      <c r="C298">
        <f t="shared" si="35"/>
        <v>7.4235034000233425E-4</v>
      </c>
      <c r="D298">
        <f t="shared" si="36"/>
        <v>-1.1695870524086053E-4</v>
      </c>
      <c r="P298">
        <f t="shared" si="37"/>
        <v>0</v>
      </c>
      <c r="Q298">
        <v>775</v>
      </c>
      <c r="R298">
        <f>Messdaten!AE298-Messdaten!C298</f>
        <v>902.34030999999982</v>
      </c>
      <c r="S298">
        <f t="shared" si="38"/>
        <v>1.0136060654855242E-2</v>
      </c>
      <c r="U298">
        <v>775</v>
      </c>
      <c r="V298">
        <f>Messdaten!AH298-Messdaten!C298</f>
        <v>50.575379999999996</v>
      </c>
      <c r="W298">
        <f t="shared" si="39"/>
        <v>5.4778273207326863E-3</v>
      </c>
    </row>
    <row r="299" spans="1:23" x14ac:dyDescent="0.2">
      <c r="A299">
        <v>776</v>
      </c>
      <c r="B299" s="13">
        <f>Messdaten!Q299-Messdaten!C299</f>
        <v>75.855020000000081</v>
      </c>
      <c r="C299">
        <f t="shared" si="35"/>
        <v>7.1457374947485322E-3</v>
      </c>
      <c r="D299">
        <f t="shared" si="36"/>
        <v>1.2716932014182497E-5</v>
      </c>
      <c r="P299">
        <f t="shared" si="37"/>
        <v>0</v>
      </c>
      <c r="Q299">
        <v>776</v>
      </c>
      <c r="R299">
        <f>Messdaten!AE299-Messdaten!C299</f>
        <v>1551.0836600000002</v>
      </c>
      <c r="S299">
        <f t="shared" si="38"/>
        <v>1.6422912921045047E-2</v>
      </c>
      <c r="U299">
        <v>776</v>
      </c>
      <c r="V299">
        <f>Messdaten!AH299-Messdaten!C299</f>
        <v>803.66912000000013</v>
      </c>
      <c r="W299">
        <f t="shared" si="39"/>
        <v>1.299458030717715E-2</v>
      </c>
    </row>
    <row r="300" spans="1:23" x14ac:dyDescent="0.2">
      <c r="A300">
        <v>777</v>
      </c>
      <c r="B300" s="13">
        <f>Messdaten!Q300-Messdaten!C300</f>
        <v>-359.35149999999987</v>
      </c>
      <c r="C300">
        <f t="shared" si="35"/>
        <v>3.5428990777164235E-3</v>
      </c>
      <c r="D300">
        <f t="shared" si="36"/>
        <v>-6.0244511104136486E-5</v>
      </c>
      <c r="P300">
        <f t="shared" si="37"/>
        <v>0</v>
      </c>
      <c r="Q300">
        <v>777</v>
      </c>
      <c r="R300">
        <f>Messdaten!AE300-Messdaten!C300</f>
        <v>1220.1471600000002</v>
      </c>
      <c r="S300">
        <f t="shared" si="38"/>
        <v>1.3215868278522051E-2</v>
      </c>
      <c r="U300">
        <v>777</v>
      </c>
      <c r="V300">
        <f>Messdaten!AH300-Messdaten!C300</f>
        <v>593.75261</v>
      </c>
      <c r="W300">
        <f t="shared" si="39"/>
        <v>1.0899368954807523E-2</v>
      </c>
    </row>
    <row r="301" spans="1:23" x14ac:dyDescent="0.2">
      <c r="A301">
        <v>778</v>
      </c>
      <c r="B301" s="13">
        <f>Messdaten!Q301-Messdaten!C301</f>
        <v>47.48488999999995</v>
      </c>
      <c r="C301">
        <f t="shared" si="35"/>
        <v>6.9108765963865424E-3</v>
      </c>
      <c r="D301">
        <f t="shared" si="36"/>
        <v>7.9607403416534999E-6</v>
      </c>
      <c r="P301">
        <f t="shared" si="37"/>
        <v>0</v>
      </c>
      <c r="Q301">
        <v>778</v>
      </c>
      <c r="R301">
        <f>Messdaten!AE301-Messdaten!C301</f>
        <v>1502.3509399999998</v>
      </c>
      <c r="S301">
        <f t="shared" si="38"/>
        <v>1.5950653111106963E-2</v>
      </c>
      <c r="U301">
        <v>778</v>
      </c>
      <c r="V301">
        <f>Messdaten!AH301-Messdaten!C301</f>
        <v>477.7177999999999</v>
      </c>
      <c r="W301">
        <f t="shared" si="39"/>
        <v>9.7412063539618222E-3</v>
      </c>
    </row>
    <row r="302" spans="1:23" x14ac:dyDescent="0.2">
      <c r="A302">
        <v>779</v>
      </c>
      <c r="B302" s="13">
        <f>Messdaten!Q302-Messdaten!C302</f>
        <v>-161.21894000000009</v>
      </c>
      <c r="C302">
        <f t="shared" si="35"/>
        <v>5.183130935531694E-3</v>
      </c>
      <c r="D302">
        <f t="shared" si="36"/>
        <v>-2.7028010794520469E-5</v>
      </c>
      <c r="P302">
        <f t="shared" si="37"/>
        <v>0</v>
      </c>
      <c r="Q302">
        <v>779</v>
      </c>
      <c r="R302">
        <f>Messdaten!AE302-Messdaten!C302</f>
        <v>1266.7958599999999</v>
      </c>
      <c r="S302">
        <f t="shared" si="38"/>
        <v>1.3667932234645542E-2</v>
      </c>
      <c r="U302">
        <v>779</v>
      </c>
      <c r="V302">
        <f>Messdaten!AH302-Messdaten!C302</f>
        <v>578.32457999999997</v>
      </c>
      <c r="W302">
        <f t="shared" si="39"/>
        <v>1.0745379239559785E-2</v>
      </c>
    </row>
    <row r="303" spans="1:23" x14ac:dyDescent="0.2">
      <c r="A303">
        <v>780</v>
      </c>
      <c r="B303" s="13">
        <f>Messdaten!Q303-Messdaten!C303</f>
        <v>-114.55432999999994</v>
      </c>
      <c r="C303">
        <f t="shared" si="35"/>
        <v>5.5694418980232977E-3</v>
      </c>
      <c r="D303">
        <f t="shared" si="36"/>
        <v>-1.9204788642073051E-5</v>
      </c>
      <c r="P303">
        <f t="shared" si="37"/>
        <v>0</v>
      </c>
      <c r="Q303">
        <v>780</v>
      </c>
      <c r="R303">
        <f>Messdaten!AE303-Messdaten!C303</f>
        <v>1035.3694600000001</v>
      </c>
      <c r="S303">
        <f t="shared" si="38"/>
        <v>1.1425221635305838E-2</v>
      </c>
      <c r="U303">
        <v>780</v>
      </c>
      <c r="V303">
        <f>Messdaten!AH303-Messdaten!C303</f>
        <v>1122.7682300000001</v>
      </c>
      <c r="W303">
        <f t="shared" si="39"/>
        <v>1.617956122079392E-2</v>
      </c>
    </row>
    <row r="304" spans="1:23" x14ac:dyDescent="0.2">
      <c r="A304">
        <v>781</v>
      </c>
      <c r="B304" s="13">
        <f>Messdaten!Q304-Messdaten!C304</f>
        <v>-304.10007999999993</v>
      </c>
      <c r="C304">
        <f t="shared" si="35"/>
        <v>4.0002955766741503E-3</v>
      </c>
      <c r="D304">
        <f t="shared" si="36"/>
        <v>-5.0981728603689689E-5</v>
      </c>
      <c r="P304">
        <f t="shared" si="37"/>
        <v>0</v>
      </c>
      <c r="Q304">
        <v>781</v>
      </c>
      <c r="R304">
        <f>Messdaten!AE304-Messdaten!C304</f>
        <v>739.61390000000006</v>
      </c>
      <c r="S304">
        <f t="shared" si="38"/>
        <v>8.5591089998171901E-3</v>
      </c>
      <c r="U304">
        <v>781</v>
      </c>
      <c r="V304">
        <f>Messdaten!AH304-Messdaten!C304</f>
        <v>712.74738000000002</v>
      </c>
      <c r="W304">
        <f t="shared" si="39"/>
        <v>1.2087075405227323E-2</v>
      </c>
    </row>
    <row r="305" spans="1:23" x14ac:dyDescent="0.2">
      <c r="A305">
        <v>782</v>
      </c>
      <c r="B305" s="13">
        <f>Messdaten!Q305-Messdaten!C305</f>
        <v>589.89355999999998</v>
      </c>
      <c r="C305">
        <f t="shared" si="35"/>
        <v>1.1401183391439364E-2</v>
      </c>
      <c r="D305">
        <f t="shared" si="36"/>
        <v>9.8894394835359292E-5</v>
      </c>
      <c r="P305">
        <f t="shared" si="37"/>
        <v>0</v>
      </c>
      <c r="Q305">
        <v>782</v>
      </c>
      <c r="R305">
        <f>Messdaten!AE305-Messdaten!C305</f>
        <v>1002.1835799999999</v>
      </c>
      <c r="S305">
        <f t="shared" si="38"/>
        <v>1.1103623387118009E-2</v>
      </c>
      <c r="U305">
        <v>782</v>
      </c>
      <c r="V305">
        <f>Messdaten!AH305-Messdaten!C305</f>
        <v>810.95762999999988</v>
      </c>
      <c r="W305">
        <f t="shared" si="39"/>
        <v>1.3067328129127214E-2</v>
      </c>
    </row>
    <row r="306" spans="1:23" x14ac:dyDescent="0.2">
      <c r="A306">
        <v>783</v>
      </c>
      <c r="B306" s="13">
        <f>Messdaten!Q306-Messdaten!C306</f>
        <v>-547.16546000000005</v>
      </c>
      <c r="C306">
        <f t="shared" si="35"/>
        <v>1.9880893052366074E-3</v>
      </c>
      <c r="D306">
        <f t="shared" si="36"/>
        <v>-9.1731120172783366E-5</v>
      </c>
      <c r="P306">
        <f t="shared" si="37"/>
        <v>0</v>
      </c>
      <c r="Q306">
        <v>783</v>
      </c>
      <c r="R306">
        <f>Messdaten!AE306-Messdaten!C306</f>
        <v>834.17162999999982</v>
      </c>
      <c r="S306">
        <f t="shared" si="38"/>
        <v>9.4754505378634186E-3</v>
      </c>
      <c r="U306">
        <v>783</v>
      </c>
      <c r="V306">
        <f>Messdaten!AH306-Messdaten!C306</f>
        <v>346.43586000000005</v>
      </c>
      <c r="W306">
        <f t="shared" si="39"/>
        <v>8.4308596306425961E-3</v>
      </c>
    </row>
    <row r="307" spans="1:23" x14ac:dyDescent="0.2">
      <c r="A307">
        <v>784</v>
      </c>
      <c r="B307" s="13">
        <f>Messdaten!Q307-Messdaten!C307</f>
        <v>-473.26316000000008</v>
      </c>
      <c r="C307">
        <f t="shared" si="35"/>
        <v>2.5998863103619718E-3</v>
      </c>
      <c r="D307">
        <f t="shared" si="36"/>
        <v>-7.9341557493982183E-5</v>
      </c>
      <c r="P307">
        <f t="shared" si="37"/>
        <v>0</v>
      </c>
      <c r="Q307">
        <v>784</v>
      </c>
      <c r="R307">
        <f>Messdaten!AE307-Messdaten!C307</f>
        <v>608.91984999999977</v>
      </c>
      <c r="S307">
        <f t="shared" si="38"/>
        <v>7.2925770431967098E-3</v>
      </c>
      <c r="U307">
        <v>784</v>
      </c>
      <c r="V307">
        <f>Messdaten!AH307-Messdaten!C307</f>
        <v>-397.44496000000004</v>
      </c>
      <c r="W307">
        <f t="shared" si="39"/>
        <v>1.0060623201593674E-3</v>
      </c>
    </row>
    <row r="308" spans="1:23" x14ac:dyDescent="0.2">
      <c r="A308">
        <v>785</v>
      </c>
      <c r="B308" s="13">
        <f>Messdaten!Q308-Messdaten!C308</f>
        <v>240.50211999999988</v>
      </c>
      <c r="C308">
        <f t="shared" si="35"/>
        <v>8.5087614152838369E-3</v>
      </c>
      <c r="D308">
        <f t="shared" si="36"/>
        <v>4.0319666507328791E-5</v>
      </c>
      <c r="P308">
        <f t="shared" si="37"/>
        <v>0</v>
      </c>
      <c r="Q308">
        <v>785</v>
      </c>
      <c r="R308">
        <f>Messdaten!AE308-Messdaten!C308</f>
        <v>1163.2357500000001</v>
      </c>
      <c r="S308">
        <f t="shared" si="38"/>
        <v>1.266435029081465E-2</v>
      </c>
      <c r="U308">
        <v>785</v>
      </c>
      <c r="V308">
        <f>Messdaten!AH308-Messdaten!C308</f>
        <v>-178.07332999999994</v>
      </c>
      <c r="W308">
        <f t="shared" si="39"/>
        <v>3.1956467866876511E-3</v>
      </c>
    </row>
    <row r="309" spans="1:23" x14ac:dyDescent="0.2">
      <c r="A309">
        <v>786</v>
      </c>
      <c r="B309" s="13">
        <f>Messdaten!Q309-Messdaten!C309</f>
        <v>-371.66189999999995</v>
      </c>
      <c r="C309">
        <f t="shared" si="35"/>
        <v>3.4409879619338927E-3</v>
      </c>
      <c r="D309">
        <f t="shared" si="36"/>
        <v>-6.2308323358979906E-5</v>
      </c>
      <c r="P309">
        <f t="shared" si="37"/>
        <v>0</v>
      </c>
      <c r="Q309">
        <v>786</v>
      </c>
      <c r="R309">
        <f>Messdaten!AE309-Messdaten!C309</f>
        <v>839.95817000000011</v>
      </c>
      <c r="S309">
        <f t="shared" si="38"/>
        <v>9.5315268307647628E-3</v>
      </c>
      <c r="U309">
        <v>786</v>
      </c>
      <c r="V309">
        <f>Messdaten!AH309-Messdaten!C309</f>
        <v>653.66157999999996</v>
      </c>
      <c r="W309">
        <f t="shared" si="39"/>
        <v>1.1497330277872446E-2</v>
      </c>
    </row>
    <row r="310" spans="1:23" x14ac:dyDescent="0.2">
      <c r="A310">
        <v>787</v>
      </c>
      <c r="B310" s="13">
        <f>Messdaten!Q310-Messdaten!C310</f>
        <v>-690.61266000000001</v>
      </c>
      <c r="C310">
        <f t="shared" si="35"/>
        <v>8.0056784306805316E-4</v>
      </c>
      <c r="D310">
        <f t="shared" si="36"/>
        <v>-1.1577973673138208E-4</v>
      </c>
      <c r="P310">
        <f t="shared" si="37"/>
        <v>0</v>
      </c>
      <c r="Q310">
        <v>787</v>
      </c>
      <c r="R310">
        <f>Messdaten!AE310-Messdaten!C310</f>
        <v>621.52854000000002</v>
      </c>
      <c r="S310">
        <f t="shared" si="38"/>
        <v>7.4147655346859659E-3</v>
      </c>
      <c r="U310">
        <v>787</v>
      </c>
      <c r="V310">
        <f>Messdaten!AH310-Messdaten!C310</f>
        <v>284.95406000000003</v>
      </c>
      <c r="W310">
        <f t="shared" si="39"/>
        <v>7.8171996316071749E-3</v>
      </c>
    </row>
    <row r="311" spans="1:23" x14ac:dyDescent="0.2">
      <c r="A311">
        <v>788</v>
      </c>
      <c r="B311" s="13">
        <f>Messdaten!Q311-Messdaten!C311</f>
        <v>-500.38967000000002</v>
      </c>
      <c r="C311">
        <f t="shared" si="35"/>
        <v>2.3753206665659979E-3</v>
      </c>
      <c r="D311">
        <f t="shared" si="36"/>
        <v>-8.3889258930908042E-5</v>
      </c>
      <c r="P311">
        <f t="shared" si="37"/>
        <v>0</v>
      </c>
      <c r="Q311">
        <v>788</v>
      </c>
      <c r="R311">
        <f>Messdaten!AE311-Messdaten!C311</f>
        <v>443.78458000000001</v>
      </c>
      <c r="S311">
        <f t="shared" si="38"/>
        <v>5.6922815697596973E-3</v>
      </c>
      <c r="U311">
        <v>788</v>
      </c>
      <c r="V311">
        <f>Messdaten!AH311-Messdaten!C311</f>
        <v>39.560240000000022</v>
      </c>
      <c r="W311">
        <f t="shared" si="39"/>
        <v>5.3678833893290026E-3</v>
      </c>
    </row>
    <row r="312" spans="1:23" x14ac:dyDescent="0.2">
      <c r="A312">
        <v>789</v>
      </c>
      <c r="B312" s="13">
        <f>Messdaten!Q312-Messdaten!C312</f>
        <v>578.14476999999999</v>
      </c>
      <c r="C312">
        <f t="shared" si="35"/>
        <v>1.1303921539834654E-2</v>
      </c>
      <c r="D312">
        <f t="shared" si="36"/>
        <v>9.692473529695422E-5</v>
      </c>
      <c r="P312">
        <f t="shared" si="37"/>
        <v>0</v>
      </c>
      <c r="Q312">
        <v>789</v>
      </c>
      <c r="R312">
        <f>Messdaten!AE312-Messdaten!C312</f>
        <v>1016.0645499999999</v>
      </c>
      <c r="S312">
        <f t="shared" si="38"/>
        <v>1.1238141309654576E-2</v>
      </c>
      <c r="U312">
        <v>789</v>
      </c>
      <c r="V312">
        <f>Messdaten!AH312-Messdaten!C312</f>
        <v>1087.6878099999999</v>
      </c>
      <c r="W312">
        <f t="shared" si="39"/>
        <v>1.5829417755518629E-2</v>
      </c>
    </row>
    <row r="313" spans="1:23" x14ac:dyDescent="0.2">
      <c r="A313">
        <v>790</v>
      </c>
      <c r="B313" s="13">
        <f>Messdaten!Q313-Messdaten!C313</f>
        <v>-480.76209999999992</v>
      </c>
      <c r="C313">
        <f t="shared" si="35"/>
        <v>2.5378066588001842E-3</v>
      </c>
      <c r="D313">
        <f t="shared" si="36"/>
        <v>-8.0598738761068151E-5</v>
      </c>
      <c r="P313">
        <f t="shared" si="37"/>
        <v>0</v>
      </c>
      <c r="Q313">
        <v>790</v>
      </c>
      <c r="R313">
        <f>Messdaten!AE313-Messdaten!C313</f>
        <v>286.06071999999995</v>
      </c>
      <c r="S313">
        <f t="shared" si="38"/>
        <v>4.1638087049924461E-3</v>
      </c>
      <c r="U313">
        <v>790</v>
      </c>
      <c r="V313">
        <f>Messdaten!AH313-Messdaten!C313</f>
        <v>-9.9586199999998826</v>
      </c>
      <c r="W313">
        <f t="shared" si="39"/>
        <v>4.8736274700189788E-3</v>
      </c>
    </row>
    <row r="314" spans="1:23" x14ac:dyDescent="0.2">
      <c r="A314">
        <v>791</v>
      </c>
      <c r="B314" s="13">
        <f>Messdaten!Q314-Messdaten!C314</f>
        <v>-146.51990000000001</v>
      </c>
      <c r="C314">
        <f t="shared" si="35"/>
        <v>5.3048163045962288E-3</v>
      </c>
      <c r="D314">
        <f t="shared" si="36"/>
        <v>-2.4563748147780017E-5</v>
      </c>
      <c r="P314">
        <f t="shared" si="37"/>
        <v>0</v>
      </c>
      <c r="Q314">
        <v>791</v>
      </c>
      <c r="R314">
        <f>Messdaten!AE314-Messdaten!C314</f>
        <v>1588.0220300000001</v>
      </c>
      <c r="S314">
        <f t="shared" si="38"/>
        <v>1.6780875858382064E-2</v>
      </c>
      <c r="U314">
        <v>791</v>
      </c>
      <c r="V314">
        <f>Messdaten!AH314-Messdaten!C314</f>
        <v>807.89120000000003</v>
      </c>
      <c r="W314">
        <f t="shared" si="39"/>
        <v>1.3036721584900433E-2</v>
      </c>
    </row>
    <row r="315" spans="1:23" x14ac:dyDescent="0.2">
      <c r="A315">
        <v>792</v>
      </c>
      <c r="B315" s="13">
        <f>Messdaten!Q315-Messdaten!C315</f>
        <v>463.74509999999998</v>
      </c>
      <c r="C315">
        <f t="shared" si="35"/>
        <v>1.0356868802729988E-2</v>
      </c>
      <c r="D315">
        <f t="shared" si="36"/>
        <v>7.7745875073399981E-5</v>
      </c>
      <c r="P315">
        <f t="shared" si="37"/>
        <v>0</v>
      </c>
      <c r="Q315">
        <v>792</v>
      </c>
      <c r="R315">
        <f>Messdaten!AE315-Messdaten!C315</f>
        <v>1069.48756</v>
      </c>
      <c r="S315">
        <f t="shared" si="38"/>
        <v>1.1755853855741068E-2</v>
      </c>
      <c r="U315">
        <v>792</v>
      </c>
      <c r="V315">
        <f>Messdaten!AH315-Messdaten!C315</f>
        <v>873.41513999999995</v>
      </c>
      <c r="W315">
        <f t="shared" si="39"/>
        <v>1.3690726850803461E-2</v>
      </c>
    </row>
    <row r="316" spans="1:23" x14ac:dyDescent="0.2">
      <c r="A316">
        <v>793</v>
      </c>
      <c r="B316" s="13">
        <f>Messdaten!Q316-Messdaten!C316</f>
        <v>-653.53210000000013</v>
      </c>
      <c r="C316">
        <f t="shared" si="35"/>
        <v>1.107537660737751E-3</v>
      </c>
      <c r="D316">
        <f t="shared" si="36"/>
        <v>-1.0956326008200789E-4</v>
      </c>
      <c r="P316">
        <f t="shared" si="37"/>
        <v>0</v>
      </c>
      <c r="Q316">
        <v>793</v>
      </c>
      <c r="R316">
        <f>Messdaten!AE316-Messdaten!C316</f>
        <v>-143.60473000000002</v>
      </c>
      <c r="S316">
        <f t="shared" si="38"/>
        <v>0</v>
      </c>
      <c r="U316">
        <v>793</v>
      </c>
      <c r="V316">
        <f>Messdaten!AH316-Messdaten!C316</f>
        <v>-498.24104000000011</v>
      </c>
      <c r="W316">
        <f t="shared" si="39"/>
        <v>0</v>
      </c>
    </row>
    <row r="317" spans="1:23" x14ac:dyDescent="0.2">
      <c r="A317">
        <v>794</v>
      </c>
      <c r="B317" s="13">
        <f>Messdaten!Q317-Messdaten!C317</f>
        <v>-787.31762000000003</v>
      </c>
      <c r="C317">
        <f t="shared" si="35"/>
        <v>0</v>
      </c>
      <c r="D317">
        <f t="shared" si="36"/>
        <v>-1.3199211663391506E-4</v>
      </c>
      <c r="P317">
        <f t="shared" si="37"/>
        <v>0</v>
      </c>
      <c r="Q317">
        <v>794</v>
      </c>
      <c r="R317">
        <f>Messdaten!AE317-Messdaten!C317</f>
        <v>156.21527000000015</v>
      </c>
      <c r="S317">
        <f t="shared" si="38"/>
        <v>2.9055003746073509E-3</v>
      </c>
      <c r="U317">
        <v>794</v>
      </c>
      <c r="V317">
        <f>Messdaten!AH317-Messdaten!C317</f>
        <v>212.97677999999996</v>
      </c>
      <c r="W317">
        <f t="shared" si="39"/>
        <v>7.0987825134458289E-3</v>
      </c>
    </row>
    <row r="318" spans="1:23" x14ac:dyDescent="0.2">
      <c r="A318">
        <v>795</v>
      </c>
      <c r="B318" s="13">
        <f>Messdaten!Q318-Messdaten!C318</f>
        <v>-51.950280000000021</v>
      </c>
      <c r="C318">
        <f t="shared" si="35"/>
        <v>6.0877068275142403E-3</v>
      </c>
      <c r="D318">
        <f t="shared" si="36"/>
        <v>-8.709353433401563E-6</v>
      </c>
      <c r="P318">
        <f t="shared" si="37"/>
        <v>0</v>
      </c>
      <c r="Q318">
        <v>795</v>
      </c>
      <c r="R318">
        <f>Messdaten!AE318-Messdaten!C318</f>
        <v>236.12749000000008</v>
      </c>
      <c r="S318">
        <f t="shared" si="38"/>
        <v>3.6799149738525804E-3</v>
      </c>
      <c r="U318">
        <v>795</v>
      </c>
      <c r="V318">
        <f>Messdaten!AH318-Messdaten!C318</f>
        <v>672.85563999999999</v>
      </c>
      <c r="W318">
        <f t="shared" si="39"/>
        <v>1.1688909360480402E-2</v>
      </c>
    </row>
    <row r="319" spans="1:23" x14ac:dyDescent="0.2">
      <c r="A319">
        <v>796</v>
      </c>
      <c r="B319" s="13">
        <f>Messdaten!Q319-Messdaten!C319</f>
        <v>664.65309999999999</v>
      </c>
      <c r="C319">
        <f t="shared" si="35"/>
        <v>1.2020077020954954E-2</v>
      </c>
      <c r="D319">
        <f t="shared" si="36"/>
        <v>1.1142767196838958E-4</v>
      </c>
      <c r="P319">
        <f t="shared" si="37"/>
        <v>0</v>
      </c>
      <c r="Q319">
        <v>796</v>
      </c>
      <c r="R319">
        <f>Messdaten!AE319-Messdaten!C319</f>
        <v>1171.9698100000001</v>
      </c>
      <c r="S319">
        <f t="shared" si="38"/>
        <v>1.2748990456920456E-2</v>
      </c>
      <c r="U319">
        <v>796</v>
      </c>
      <c r="V319">
        <f>Messdaten!AH319-Messdaten!C319</f>
        <v>1269.4700700000001</v>
      </c>
      <c r="W319">
        <f t="shared" si="39"/>
        <v>1.7643816512488281E-2</v>
      </c>
    </row>
    <row r="320" spans="1:23" x14ac:dyDescent="0.2">
      <c r="A320">
        <v>797</v>
      </c>
      <c r="B320" s="13">
        <f>Messdaten!Q320-Messdaten!C320</f>
        <v>-691.69607999999994</v>
      </c>
      <c r="C320">
        <f t="shared" si="35"/>
        <v>7.9159879729690831E-4</v>
      </c>
      <c r="D320">
        <f t="shared" si="36"/>
        <v>-1.1596136977930435E-4</v>
      </c>
      <c r="P320">
        <f t="shared" si="37"/>
        <v>0</v>
      </c>
      <c r="Q320">
        <v>797</v>
      </c>
      <c r="R320">
        <f>Messdaten!AE320-Messdaten!C320</f>
        <v>1175.8158000000003</v>
      </c>
      <c r="S320">
        <f t="shared" si="38"/>
        <v>1.2786261237341166E-2</v>
      </c>
      <c r="U320">
        <v>797</v>
      </c>
      <c r="V320">
        <f>Messdaten!AH320-Messdaten!C320</f>
        <v>289.83368000000019</v>
      </c>
      <c r="W320">
        <f t="shared" si="39"/>
        <v>7.8659039246580173E-3</v>
      </c>
    </row>
    <row r="321" spans="1:23" x14ac:dyDescent="0.2">
      <c r="A321">
        <v>798</v>
      </c>
      <c r="B321" s="13">
        <f>Messdaten!Q321-Messdaten!C321</f>
        <v>-85.143370000000004</v>
      </c>
      <c r="C321">
        <f t="shared" si="35"/>
        <v>5.8129192626771966E-3</v>
      </c>
      <c r="D321">
        <f t="shared" si="36"/>
        <v>-1.4274104044114476E-5</v>
      </c>
      <c r="P321">
        <f t="shared" si="37"/>
        <v>0</v>
      </c>
      <c r="Q321">
        <v>798</v>
      </c>
      <c r="R321">
        <f>Messdaten!AE321-Messdaten!C321</f>
        <v>673.48738000000003</v>
      </c>
      <c r="S321">
        <f t="shared" si="38"/>
        <v>7.9182890790931541E-3</v>
      </c>
      <c r="U321">
        <v>798</v>
      </c>
      <c r="V321">
        <f>Messdaten!AH321-Messdaten!C321</f>
        <v>610.79985999999985</v>
      </c>
      <c r="W321">
        <f t="shared" si="39"/>
        <v>1.10695203722767E-2</v>
      </c>
    </row>
    <row r="322" spans="1:23" x14ac:dyDescent="0.2">
      <c r="A322">
        <v>799</v>
      </c>
      <c r="B322" s="13">
        <f>Messdaten!Q322-Messdaten!C322</f>
        <v>83.659179999999992</v>
      </c>
      <c r="C322">
        <f t="shared" si="35"/>
        <v>7.2103438969243665E-3</v>
      </c>
      <c r="D322">
        <f t="shared" si="36"/>
        <v>1.4025282762067096E-5</v>
      </c>
      <c r="P322">
        <f t="shared" si="37"/>
        <v>0</v>
      </c>
      <c r="Q322">
        <v>799</v>
      </c>
      <c r="R322">
        <f>Messdaten!AE322-Messdaten!C322</f>
        <v>867.59462999999994</v>
      </c>
      <c r="S322">
        <f t="shared" si="38"/>
        <v>9.7993466722790731E-3</v>
      </c>
      <c r="U322">
        <v>799</v>
      </c>
      <c r="V322">
        <f>Messdaten!AH322-Messdaten!C322</f>
        <v>784.74655999999993</v>
      </c>
      <c r="W322">
        <f t="shared" si="39"/>
        <v>1.2805711110905279E-2</v>
      </c>
    </row>
    <row r="323" spans="1:23" x14ac:dyDescent="0.2">
      <c r="A323">
        <v>800</v>
      </c>
      <c r="B323" s="13">
        <f>Messdaten!Q323-Messdaten!C323</f>
        <v>747.55485999999996</v>
      </c>
      <c r="C323">
        <f t="shared" ref="C323" si="40">(B323-MIN(B:B))/(MAX(B:B)-MIN(B:B))</f>
        <v>1.2706375667784913E-2</v>
      </c>
      <c r="D323">
        <f t="shared" si="36"/>
        <v>1.2532597488592982E-4</v>
      </c>
      <c r="P323">
        <f t="shared" si="37"/>
        <v>0</v>
      </c>
      <c r="Q323">
        <v>800</v>
      </c>
      <c r="R323">
        <f>Messdaten!AE323-Messdaten!C323</f>
        <v>1702.7436300000002</v>
      </c>
      <c r="S323">
        <f t="shared" si="38"/>
        <v>1.7892621745165985E-2</v>
      </c>
      <c r="U323">
        <v>800</v>
      </c>
      <c r="V323">
        <f>Messdaten!AH323-Messdaten!C323</f>
        <v>255.29893000000004</v>
      </c>
      <c r="W323">
        <f t="shared" si="39"/>
        <v>7.5212068817658356E-3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71C32-7853-4F7D-BA01-BF42F55073C0}">
  <dimension ref="A1:AG324"/>
  <sheetViews>
    <sheetView topLeftCell="P1" workbookViewId="0">
      <selection activeCell="AH10" sqref="AH10"/>
    </sheetView>
  </sheetViews>
  <sheetFormatPr baseColWidth="10" defaultRowHeight="12.75" x14ac:dyDescent="0.2"/>
  <cols>
    <col min="5" max="5" width="17.7109375" bestFit="1" customWidth="1"/>
    <col min="6" max="6" width="9.42578125" bestFit="1" customWidth="1"/>
    <col min="12" max="12" width="17.7109375" bestFit="1" customWidth="1"/>
    <col min="13" max="13" width="13.85546875" bestFit="1" customWidth="1"/>
    <col min="17" max="17" width="9.42578125" bestFit="1" customWidth="1"/>
    <col min="24" max="24" width="13.7109375" bestFit="1" customWidth="1"/>
    <col min="25" max="25" width="25.28515625" bestFit="1" customWidth="1"/>
    <col min="26" max="26" width="25.28515625" customWidth="1"/>
    <col min="30" max="30" width="13.42578125" bestFit="1" customWidth="1"/>
    <col min="31" max="31" width="25" bestFit="1" customWidth="1"/>
    <col min="32" max="32" width="25" customWidth="1"/>
  </cols>
  <sheetData>
    <row r="1" spans="1:33" x14ac:dyDescent="0.2">
      <c r="A1" s="2" t="s">
        <v>10</v>
      </c>
      <c r="B1" s="2" t="s">
        <v>13</v>
      </c>
      <c r="G1" s="2" t="s">
        <v>6</v>
      </c>
      <c r="H1" s="7" t="s">
        <v>13</v>
      </c>
      <c r="I1" s="7"/>
    </row>
    <row r="2" spans="1:33" x14ac:dyDescent="0.2">
      <c r="A2" s="3" t="s">
        <v>0</v>
      </c>
      <c r="B2" s="3" t="s">
        <v>14</v>
      </c>
      <c r="C2" s="3" t="s">
        <v>24</v>
      </c>
      <c r="D2" s="19" t="s">
        <v>27</v>
      </c>
      <c r="E2" s="3" t="s">
        <v>23</v>
      </c>
      <c r="F2" s="3" t="s">
        <v>25</v>
      </c>
      <c r="G2" s="4" t="s">
        <v>0</v>
      </c>
      <c r="H2" s="8" t="s">
        <v>14</v>
      </c>
      <c r="I2" s="4" t="s">
        <v>15</v>
      </c>
      <c r="J2" s="8" t="s">
        <v>24</v>
      </c>
      <c r="K2" s="20" t="s">
        <v>28</v>
      </c>
      <c r="L2" s="8" t="s">
        <v>22</v>
      </c>
      <c r="M2" s="8" t="s">
        <v>26</v>
      </c>
      <c r="N2" s="21" t="s">
        <v>29</v>
      </c>
      <c r="O2" s="23" t="s">
        <v>38</v>
      </c>
      <c r="P2" s="23" t="s">
        <v>39</v>
      </c>
      <c r="Q2" s="23" t="s">
        <v>37</v>
      </c>
      <c r="R2" s="23" t="s">
        <v>36</v>
      </c>
      <c r="S2" s="22"/>
      <c r="T2" s="22" t="s">
        <v>30</v>
      </c>
      <c r="U2" s="22" t="s">
        <v>31</v>
      </c>
      <c r="V2" s="2" t="s">
        <v>8</v>
      </c>
      <c r="W2" s="2" t="s">
        <v>13</v>
      </c>
      <c r="AB2" s="2" t="s">
        <v>9</v>
      </c>
      <c r="AC2" s="2" t="s">
        <v>13</v>
      </c>
    </row>
    <row r="3" spans="1:33" x14ac:dyDescent="0.2">
      <c r="A3" cm="1">
        <f t="array" ref="A3:A183">_xlfn.ANCHORARRAY('Rechnung R0'!I3)</f>
        <v>620</v>
      </c>
      <c r="B3" cm="1">
        <f t="array" ref="B3:B183">'Rechnung R0'!J3:J183</f>
        <v>1157.3333500000001</v>
      </c>
      <c r="C3">
        <f>(B4+B3)/2*(A4-A3)</f>
        <v>1283.915845</v>
      </c>
      <c r="D3">
        <f>SUM(C:C)</f>
        <v>5256161.2295799982</v>
      </c>
      <c r="E3">
        <f>MAX(B:B)</f>
        <v>136713.68818</v>
      </c>
      <c r="F3">
        <v>0.32</v>
      </c>
      <c r="G3" cm="1">
        <f t="array" ref="G3:G323">_xlfn.ANCHORARRAY('Rechnung R0'!A3)</f>
        <v>480</v>
      </c>
      <c r="H3" cm="1">
        <f t="array" ref="H3:H323">'Rechnung R0'!B3:B323</f>
        <v>30.509199999999964</v>
      </c>
      <c r="I3" cm="1">
        <f t="array" ref="I3:I323">'Rechnung R0'!C3:C323</f>
        <v>6.7703440784278781E-3</v>
      </c>
      <c r="J3">
        <f>(H4+H3)/2*(G4-G3)</f>
        <v>318.84421499999985</v>
      </c>
      <c r="K3">
        <f>SUM(J:J)</f>
        <v>5665472.6857999945</v>
      </c>
      <c r="L3" s="18">
        <f>MAX(H:H)</f>
        <v>120008.1413</v>
      </c>
      <c r="M3">
        <v>0.8</v>
      </c>
      <c r="N3" s="17">
        <f>((E3/D3)*F3)/((L3/K3)*M3)</f>
        <v>0.49116651700362107</v>
      </c>
      <c r="O3" s="17">
        <f>1/(T3*(1+N3*(Z4/AA4)))</f>
        <v>0.51172010380257504</v>
      </c>
      <c r="P3" s="17">
        <f>1/(U3*(1+N3*(AF4/AG4)))</f>
        <v>0.26134715482269361</v>
      </c>
      <c r="Q3" s="17">
        <f>(('Rechnung R0'!AC3^6/Verhältnismethode!O3)-'Rechnung R0'!AC3^6)^(1/6)</f>
        <v>55.012463245163836</v>
      </c>
      <c r="R3" s="17">
        <f>(('Rechnung R0'!AC3^6/Verhältnismethode!P3)-'Rechnung R0'!AC3^6)^(1/6)</f>
        <v>65.926314379052641</v>
      </c>
      <c r="S3" s="24"/>
      <c r="T3">
        <v>0.9</v>
      </c>
      <c r="U3">
        <v>1</v>
      </c>
      <c r="V3" s="4" t="s">
        <v>0</v>
      </c>
      <c r="W3" s="8" t="s">
        <v>14</v>
      </c>
      <c r="X3" s="8" t="s">
        <v>32</v>
      </c>
      <c r="Y3" s="20" t="s">
        <v>34</v>
      </c>
      <c r="Z3" s="20" t="s">
        <v>42</v>
      </c>
      <c r="AA3" s="20" t="s">
        <v>40</v>
      </c>
      <c r="AB3" s="8" t="s">
        <v>0</v>
      </c>
      <c r="AC3" s="8" t="s">
        <v>14</v>
      </c>
      <c r="AD3" s="8" t="s">
        <v>33</v>
      </c>
      <c r="AE3" s="20" t="s">
        <v>35</v>
      </c>
      <c r="AF3" s="20" t="s">
        <v>43</v>
      </c>
      <c r="AG3" s="20" t="s">
        <v>41</v>
      </c>
    </row>
    <row r="4" spans="1:33" x14ac:dyDescent="0.2">
      <c r="A4">
        <v>621</v>
      </c>
      <c r="B4">
        <v>1410.4983400000001</v>
      </c>
      <c r="C4">
        <f>(B5+B4)/2*(A5-A4)</f>
        <v>1547.0608299999999</v>
      </c>
      <c r="G4">
        <v>481</v>
      </c>
      <c r="H4">
        <v>607.17922999999973</v>
      </c>
      <c r="I4">
        <v>1.15442820654669E-2</v>
      </c>
      <c r="J4">
        <f t="shared" ref="J4:J67" si="0">(H5+H4)/2*(G5-G4)</f>
        <v>830.99177499999985</v>
      </c>
      <c r="V4" cm="1">
        <f t="array" ref="V4:V324">_xlfn.ANCHORARRAY('Rechnung R0'!Q3)</f>
        <v>480</v>
      </c>
      <c r="W4" cm="1">
        <f t="array" ref="W4:W324">'Rechnung R0'!R3:R323</f>
        <v>-95.486430000000382</v>
      </c>
      <c r="X4">
        <f>I3*MAX(W:W)</f>
        <v>697.66285235921089</v>
      </c>
      <c r="Y4">
        <f>W4-X4</f>
        <v>-793.14928235921127</v>
      </c>
      <c r="Z4">
        <f>MAX(W:W)</f>
        <v>103046.88274</v>
      </c>
      <c r="AA4">
        <f>MAX(Y:Y)</f>
        <v>43210.159364329607</v>
      </c>
      <c r="AB4" cm="1">
        <f t="array" ref="AB4:AB324">_xlfn.ANCHORARRAY('Rechnung R0'!U3)</f>
        <v>480</v>
      </c>
      <c r="AC4" cm="1">
        <f t="array" ref="AC4:AC324">'Rechnung R0'!V3:V323</f>
        <v>231.01857999999993</v>
      </c>
      <c r="AD4">
        <f>I3*MAX(AC:AC)</f>
        <v>674.93873557696963</v>
      </c>
      <c r="AE4">
        <f>AC4-AD4</f>
        <v>-443.92015557696971</v>
      </c>
      <c r="AF4">
        <f>MAX(AC:AC)</f>
        <v>99690.46295999999</v>
      </c>
      <c r="AG4">
        <f>MAX(AE:AE)</f>
        <v>17324.462427049733</v>
      </c>
    </row>
    <row r="5" spans="1:33" x14ac:dyDescent="0.2">
      <c r="A5">
        <v>622</v>
      </c>
      <c r="B5">
        <v>1683.6233199999999</v>
      </c>
      <c r="C5">
        <f t="shared" ref="C5:C68" si="1">(B6+B5)/2*(A6-A5)</f>
        <v>1951.6090450000002</v>
      </c>
      <c r="G5">
        <v>482</v>
      </c>
      <c r="H5">
        <v>1054.80432</v>
      </c>
      <c r="I5">
        <v>1.524992707896407E-2</v>
      </c>
      <c r="J5">
        <f t="shared" si="0"/>
        <v>1343.33149</v>
      </c>
      <c r="V5">
        <v>481</v>
      </c>
      <c r="W5">
        <v>524.89689999999973</v>
      </c>
      <c r="X5">
        <f t="shared" ref="X5:X68" si="2">I4*MAX(W:W)</f>
        <v>1189.6022803176527</v>
      </c>
      <c r="Y5">
        <f t="shared" ref="Y5:Y68" si="3">W5-X5</f>
        <v>-664.70538031765295</v>
      </c>
      <c r="AB5">
        <v>481</v>
      </c>
      <c r="AC5">
        <v>666.54586999999992</v>
      </c>
      <c r="AD5">
        <f t="shared" ref="AD5:AD68" si="4">I4*MAX(AC:AC)</f>
        <v>1150.8548236472202</v>
      </c>
      <c r="AE5">
        <f t="shared" ref="AE5:AE68" si="5">AC5-AD5</f>
        <v>-484.30895364722028</v>
      </c>
    </row>
    <row r="6" spans="1:33" x14ac:dyDescent="0.2">
      <c r="A6">
        <v>623</v>
      </c>
      <c r="B6">
        <v>2219.5947700000002</v>
      </c>
      <c r="C6">
        <f t="shared" si="1"/>
        <v>2344.7453599999999</v>
      </c>
      <c r="G6">
        <v>483</v>
      </c>
      <c r="H6">
        <v>1631.8586600000001</v>
      </c>
      <c r="I6">
        <v>2.002704655977311E-2</v>
      </c>
      <c r="J6">
        <f t="shared" si="0"/>
        <v>1928.1778249999998</v>
      </c>
      <c r="V6">
        <v>482</v>
      </c>
      <c r="W6">
        <v>951.87303999999972</v>
      </c>
      <c r="X6">
        <f t="shared" si="2"/>
        <v>1571.4574474995611</v>
      </c>
      <c r="Y6">
        <f t="shared" si="3"/>
        <v>-619.58440749956139</v>
      </c>
      <c r="AB6">
        <v>482</v>
      </c>
      <c r="AC6">
        <v>1022.8246000000001</v>
      </c>
      <c r="AD6">
        <f t="shared" si="4"/>
        <v>1520.2722906081685</v>
      </c>
      <c r="AE6">
        <f t="shared" si="5"/>
        <v>-497.44769060816839</v>
      </c>
    </row>
    <row r="7" spans="1:33" x14ac:dyDescent="0.2">
      <c r="A7">
        <v>624</v>
      </c>
      <c r="B7">
        <v>2469.8959500000001</v>
      </c>
      <c r="C7">
        <f t="shared" si="1"/>
        <v>2663.56412</v>
      </c>
      <c r="G7">
        <v>484</v>
      </c>
      <c r="H7">
        <v>2224.4969899999996</v>
      </c>
      <c r="I7">
        <v>2.4933177430077513E-2</v>
      </c>
      <c r="J7">
        <f t="shared" si="0"/>
        <v>2518.4658549999999</v>
      </c>
      <c r="V7">
        <v>483</v>
      </c>
      <c r="W7">
        <v>1507.9783199999999</v>
      </c>
      <c r="X7">
        <f t="shared" si="2"/>
        <v>2063.7247184734601</v>
      </c>
      <c r="Y7">
        <f t="shared" si="3"/>
        <v>-555.7463984734602</v>
      </c>
      <c r="AB7">
        <v>483</v>
      </c>
      <c r="AC7">
        <v>1640.44442</v>
      </c>
      <c r="AD7">
        <f t="shared" si="4"/>
        <v>1996.5055432652564</v>
      </c>
      <c r="AE7">
        <f t="shared" si="5"/>
        <v>-356.06112326525636</v>
      </c>
    </row>
    <row r="8" spans="1:33" x14ac:dyDescent="0.2">
      <c r="A8">
        <v>625</v>
      </c>
      <c r="B8">
        <v>2857.2322900000004</v>
      </c>
      <c r="C8">
        <f t="shared" si="1"/>
        <v>3123.4743900000003</v>
      </c>
      <c r="G8">
        <v>485</v>
      </c>
      <c r="H8">
        <v>2812.4347200000002</v>
      </c>
      <c r="I8">
        <v>2.9800394585892766E-2</v>
      </c>
      <c r="J8">
        <f t="shared" si="0"/>
        <v>3286.73452</v>
      </c>
      <c r="V8">
        <v>484</v>
      </c>
      <c r="W8">
        <v>2114.8338999999996</v>
      </c>
      <c r="X8">
        <f t="shared" si="2"/>
        <v>2569.2862109728121</v>
      </c>
      <c r="Y8">
        <f t="shared" si="3"/>
        <v>-454.45231097281248</v>
      </c>
      <c r="AB8">
        <v>484</v>
      </c>
      <c r="AC8">
        <v>2147.4857099999999</v>
      </c>
      <c r="AD8">
        <f t="shared" si="4"/>
        <v>2485.6000010682501</v>
      </c>
      <c r="AE8">
        <f t="shared" si="5"/>
        <v>-338.11429106825017</v>
      </c>
    </row>
    <row r="9" spans="1:33" x14ac:dyDescent="0.2">
      <c r="A9">
        <v>626</v>
      </c>
      <c r="B9">
        <v>3389.7164899999998</v>
      </c>
      <c r="C9">
        <f t="shared" si="1"/>
        <v>3696.9532749999998</v>
      </c>
      <c r="G9">
        <v>486</v>
      </c>
      <c r="H9">
        <v>3761.0343200000002</v>
      </c>
      <c r="I9">
        <v>3.7653335486827096E-2</v>
      </c>
      <c r="J9">
        <f t="shared" si="0"/>
        <v>4253.1523999999999</v>
      </c>
      <c r="V9">
        <v>485</v>
      </c>
      <c r="W9">
        <v>2610.3010200000003</v>
      </c>
      <c r="X9">
        <f t="shared" si="2"/>
        <v>3070.8377664982227</v>
      </c>
      <c r="Y9">
        <f t="shared" si="3"/>
        <v>-460.53674649822233</v>
      </c>
      <c r="AB9">
        <v>485</v>
      </c>
      <c r="AC9">
        <v>2573.3936600000002</v>
      </c>
      <c r="AD9">
        <f t="shared" si="4"/>
        <v>2970.815132658327</v>
      </c>
      <c r="AE9">
        <f t="shared" si="5"/>
        <v>-397.42147265832682</v>
      </c>
    </row>
    <row r="10" spans="1:33" x14ac:dyDescent="0.2">
      <c r="A10">
        <v>627</v>
      </c>
      <c r="B10">
        <v>4004.1900599999999</v>
      </c>
      <c r="C10">
        <f t="shared" si="1"/>
        <v>4488.6678449999999</v>
      </c>
      <c r="G10">
        <v>487</v>
      </c>
      <c r="H10">
        <v>4745.2704800000001</v>
      </c>
      <c r="I10">
        <v>4.5801292113672114E-2</v>
      </c>
      <c r="J10">
        <f t="shared" si="0"/>
        <v>5254.2768950000009</v>
      </c>
      <c r="V10">
        <v>486</v>
      </c>
      <c r="W10">
        <v>3579.0382299999997</v>
      </c>
      <c r="X10">
        <f t="shared" si="2"/>
        <v>3880.0588466809527</v>
      </c>
      <c r="Y10">
        <f t="shared" si="3"/>
        <v>-301.02061668095303</v>
      </c>
      <c r="AB10">
        <v>486</v>
      </c>
      <c r="AC10">
        <v>3400.0951799999998</v>
      </c>
      <c r="AD10">
        <f t="shared" si="4"/>
        <v>3753.6784466699896</v>
      </c>
      <c r="AE10">
        <f t="shared" si="5"/>
        <v>-353.58326666998983</v>
      </c>
    </row>
    <row r="11" spans="1:33" x14ac:dyDescent="0.2">
      <c r="A11">
        <v>628</v>
      </c>
      <c r="B11">
        <v>4973.14563</v>
      </c>
      <c r="C11">
        <f t="shared" si="1"/>
        <v>5263.3051100000002</v>
      </c>
      <c r="G11">
        <v>488</v>
      </c>
      <c r="H11">
        <v>5763.2833100000007</v>
      </c>
      <c r="I11">
        <v>5.4228867447230031E-2</v>
      </c>
      <c r="J11">
        <f t="shared" si="0"/>
        <v>6520.3762299999999</v>
      </c>
      <c r="V11">
        <v>487</v>
      </c>
      <c r="W11">
        <v>4405.8423200000007</v>
      </c>
      <c r="X11">
        <f t="shared" si="2"/>
        <v>4719.6803777780569</v>
      </c>
      <c r="Y11">
        <f t="shared" si="3"/>
        <v>-313.83805777805628</v>
      </c>
      <c r="AB11">
        <v>487</v>
      </c>
      <c r="AC11">
        <v>4215.8155300000008</v>
      </c>
      <c r="AD11">
        <f t="shared" si="4"/>
        <v>4565.9520149781692</v>
      </c>
      <c r="AE11">
        <f t="shared" si="5"/>
        <v>-350.13648497816848</v>
      </c>
    </row>
    <row r="12" spans="1:33" x14ac:dyDescent="0.2">
      <c r="A12">
        <v>629</v>
      </c>
      <c r="B12">
        <v>5553.4645900000005</v>
      </c>
      <c r="C12">
        <f t="shared" si="1"/>
        <v>6179.5424899999998</v>
      </c>
      <c r="G12">
        <v>489</v>
      </c>
      <c r="H12">
        <v>7277.4691499999999</v>
      </c>
      <c r="I12">
        <v>6.6763989657435047E-2</v>
      </c>
      <c r="J12">
        <f t="shared" si="0"/>
        <v>8121.2011899999998</v>
      </c>
      <c r="V12">
        <v>488</v>
      </c>
      <c r="W12">
        <v>5478.2713999999996</v>
      </c>
      <c r="X12">
        <f t="shared" si="2"/>
        <v>5588.1157449577158</v>
      </c>
      <c r="Y12">
        <f t="shared" si="3"/>
        <v>-109.8443449577162</v>
      </c>
      <c r="AB12">
        <v>488</v>
      </c>
      <c r="AC12">
        <v>5170.3202999999994</v>
      </c>
      <c r="AD12">
        <f t="shared" si="4"/>
        <v>5406.1009016108346</v>
      </c>
      <c r="AE12">
        <f t="shared" si="5"/>
        <v>-235.78060161083522</v>
      </c>
    </row>
    <row r="13" spans="1:33" x14ac:dyDescent="0.2">
      <c r="A13">
        <v>630</v>
      </c>
      <c r="B13">
        <v>6805.62039</v>
      </c>
      <c r="C13">
        <f t="shared" si="1"/>
        <v>7322.9427049999995</v>
      </c>
      <c r="G13">
        <v>490</v>
      </c>
      <c r="H13">
        <v>8964.9332299999987</v>
      </c>
      <c r="I13">
        <v>8.0733588308635723E-2</v>
      </c>
      <c r="J13">
        <f t="shared" si="0"/>
        <v>9868.436604999999</v>
      </c>
      <c r="V13">
        <v>489</v>
      </c>
      <c r="W13">
        <v>6633.7977200000005</v>
      </c>
      <c r="X13">
        <f t="shared" si="2"/>
        <v>6879.821013484282</v>
      </c>
      <c r="Y13">
        <f t="shared" si="3"/>
        <v>-246.02329348428157</v>
      </c>
      <c r="AB13">
        <v>489</v>
      </c>
      <c r="AC13">
        <v>6554.3831100000007</v>
      </c>
      <c r="AD13">
        <f t="shared" si="4"/>
        <v>6655.7330380063513</v>
      </c>
      <c r="AE13">
        <f t="shared" si="5"/>
        <v>-101.34992800635064</v>
      </c>
    </row>
    <row r="14" spans="1:33" x14ac:dyDescent="0.2">
      <c r="A14">
        <v>631</v>
      </c>
      <c r="B14">
        <v>7840.2650199999998</v>
      </c>
      <c r="C14">
        <f t="shared" si="1"/>
        <v>8544.7436600000001</v>
      </c>
      <c r="G14">
        <v>491</v>
      </c>
      <c r="H14">
        <v>10771.939979999999</v>
      </c>
      <c r="I14">
        <v>9.5692815800761388E-2</v>
      </c>
      <c r="J14">
        <f t="shared" si="0"/>
        <v>11959.473715</v>
      </c>
      <c r="V14">
        <v>490</v>
      </c>
      <c r="W14">
        <v>8308.6704099999988</v>
      </c>
      <c r="X14">
        <f t="shared" si="2"/>
        <v>8319.3446076194195</v>
      </c>
      <c r="Y14">
        <f t="shared" si="3"/>
        <v>-10.674197619420738</v>
      </c>
      <c r="AB14">
        <v>490</v>
      </c>
      <c r="AC14">
        <v>8000.1676299999999</v>
      </c>
      <c r="AD14">
        <f t="shared" si="4"/>
        <v>8048.3687949099376</v>
      </c>
      <c r="AE14">
        <f t="shared" si="5"/>
        <v>-48.201164909937688</v>
      </c>
    </row>
    <row r="15" spans="1:33" x14ac:dyDescent="0.2">
      <c r="A15">
        <v>632</v>
      </c>
      <c r="B15">
        <v>9249.2223000000013</v>
      </c>
      <c r="C15">
        <f t="shared" si="1"/>
        <v>9921.2863800000014</v>
      </c>
      <c r="G15">
        <v>492</v>
      </c>
      <c r="H15">
        <v>13147.007450000001</v>
      </c>
      <c r="I15">
        <v>0.11535470947817977</v>
      </c>
      <c r="J15">
        <f t="shared" si="0"/>
        <v>14428.950045000001</v>
      </c>
      <c r="V15">
        <v>491</v>
      </c>
      <c r="W15">
        <v>9960.1508199999989</v>
      </c>
      <c r="X15">
        <f t="shared" si="2"/>
        <v>9860.8463688814772</v>
      </c>
      <c r="Y15">
        <f t="shared" si="3"/>
        <v>99.304451118521683</v>
      </c>
      <c r="AB15">
        <v>491</v>
      </c>
      <c r="AC15">
        <v>9528.4078599999993</v>
      </c>
      <c r="AD15">
        <f t="shared" si="4"/>
        <v>9539.6611091239047</v>
      </c>
      <c r="AE15">
        <f t="shared" si="5"/>
        <v>-11.253249123905334</v>
      </c>
    </row>
    <row r="16" spans="1:33" x14ac:dyDescent="0.2">
      <c r="A16">
        <v>633</v>
      </c>
      <c r="B16">
        <v>10593.350460000001</v>
      </c>
      <c r="C16">
        <f t="shared" si="1"/>
        <v>11759.264630000001</v>
      </c>
      <c r="G16">
        <v>493</v>
      </c>
      <c r="H16">
        <v>15710.89264</v>
      </c>
      <c r="I16">
        <v>0.1365797225119727</v>
      </c>
      <c r="J16">
        <f t="shared" si="0"/>
        <v>17267.804295000002</v>
      </c>
      <c r="V16">
        <v>492</v>
      </c>
      <c r="W16">
        <v>12101.797330000001</v>
      </c>
      <c r="X16">
        <f t="shared" si="2"/>
        <v>11886.943221104757</v>
      </c>
      <c r="Y16">
        <f t="shared" si="3"/>
        <v>214.85410889524428</v>
      </c>
      <c r="AB16">
        <v>492</v>
      </c>
      <c r="AC16">
        <v>11578.048490000001</v>
      </c>
      <c r="AD16">
        <f t="shared" si="4"/>
        <v>11499.764392496041</v>
      </c>
      <c r="AE16">
        <f t="shared" si="5"/>
        <v>78.284097503959856</v>
      </c>
    </row>
    <row r="17" spans="1:31" x14ac:dyDescent="0.2">
      <c r="A17">
        <v>634</v>
      </c>
      <c r="B17">
        <v>12925.178800000002</v>
      </c>
      <c r="C17">
        <f t="shared" si="1"/>
        <v>13915.341530000002</v>
      </c>
      <c r="G17">
        <v>494</v>
      </c>
      <c r="H17">
        <v>18824.715950000002</v>
      </c>
      <c r="I17">
        <v>0.1623573745681002</v>
      </c>
      <c r="J17">
        <f t="shared" si="0"/>
        <v>20700.610335000001</v>
      </c>
      <c r="V17">
        <v>493</v>
      </c>
      <c r="W17">
        <v>14661.893959999999</v>
      </c>
      <c r="X17">
        <f t="shared" si="2"/>
        <v>14074.114650352989</v>
      </c>
      <c r="Y17">
        <f t="shared" si="3"/>
        <v>587.77930964701045</v>
      </c>
      <c r="AB17">
        <v>493</v>
      </c>
      <c r="AC17">
        <v>13902.946250000001</v>
      </c>
      <c r="AD17">
        <f t="shared" si="4"/>
        <v>13615.695768166892</v>
      </c>
      <c r="AE17">
        <f t="shared" si="5"/>
        <v>287.25048183310901</v>
      </c>
    </row>
    <row r="18" spans="1:31" x14ac:dyDescent="0.2">
      <c r="A18">
        <v>635</v>
      </c>
      <c r="B18">
        <v>14905.50426</v>
      </c>
      <c r="C18">
        <f t="shared" si="1"/>
        <v>15943.390025000001</v>
      </c>
      <c r="G18">
        <v>495</v>
      </c>
      <c r="H18">
        <v>22576.504720000001</v>
      </c>
      <c r="I18">
        <v>0.19341639618649334</v>
      </c>
      <c r="J18">
        <f t="shared" si="0"/>
        <v>24322.171710000002</v>
      </c>
      <c r="V18">
        <v>494</v>
      </c>
      <c r="W18">
        <v>17438.64345</v>
      </c>
      <c r="X18">
        <f t="shared" si="2"/>
        <v>16730.421339093282</v>
      </c>
      <c r="Y18">
        <f t="shared" si="3"/>
        <v>708.22211090671772</v>
      </c>
      <c r="AB18">
        <v>494</v>
      </c>
      <c r="AC18">
        <v>16666.11335</v>
      </c>
      <c r="AD18">
        <f t="shared" si="4"/>
        <v>16185.481835664037</v>
      </c>
      <c r="AE18">
        <f t="shared" si="5"/>
        <v>480.63151433596249</v>
      </c>
    </row>
    <row r="19" spans="1:31" x14ac:dyDescent="0.2">
      <c r="A19">
        <v>636</v>
      </c>
      <c r="B19">
        <v>16981.27579</v>
      </c>
      <c r="C19">
        <f t="shared" si="1"/>
        <v>18605.407670000001</v>
      </c>
      <c r="G19">
        <v>496</v>
      </c>
      <c r="H19">
        <v>26067.8387</v>
      </c>
      <c r="I19">
        <v>0.22231925405230291</v>
      </c>
      <c r="J19">
        <f t="shared" si="0"/>
        <v>28344.621415000001</v>
      </c>
      <c r="V19">
        <v>495</v>
      </c>
      <c r="W19">
        <v>20414.938740000001</v>
      </c>
      <c r="X19">
        <f t="shared" si="2"/>
        <v>19930.956697822963</v>
      </c>
      <c r="Y19">
        <f t="shared" si="3"/>
        <v>483.98204217703824</v>
      </c>
      <c r="AB19">
        <v>495</v>
      </c>
      <c r="AC19">
        <v>19757.2955</v>
      </c>
      <c r="AD19">
        <f t="shared" si="4"/>
        <v>19281.770079886297</v>
      </c>
      <c r="AE19">
        <f t="shared" si="5"/>
        <v>475.52542011370315</v>
      </c>
    </row>
    <row r="20" spans="1:31" x14ac:dyDescent="0.2">
      <c r="A20">
        <v>637</v>
      </c>
      <c r="B20">
        <v>20229.539550000001</v>
      </c>
      <c r="C20">
        <f t="shared" si="1"/>
        <v>21502.323675</v>
      </c>
      <c r="G20">
        <v>497</v>
      </c>
      <c r="H20">
        <v>30621.404129999999</v>
      </c>
      <c r="I20">
        <v>0.26001574919137699</v>
      </c>
      <c r="J20">
        <f t="shared" si="0"/>
        <v>32992.145839999997</v>
      </c>
      <c r="V20">
        <v>496</v>
      </c>
      <c r="W20">
        <v>24205.245339999998</v>
      </c>
      <c r="X20">
        <f t="shared" si="2"/>
        <v>22909.306103171926</v>
      </c>
      <c r="Y20">
        <f t="shared" si="3"/>
        <v>1295.9392368280714</v>
      </c>
      <c r="AB20">
        <v>496</v>
      </c>
      <c r="AC20">
        <v>23506.266009999999</v>
      </c>
      <c r="AD20">
        <f t="shared" si="4"/>
        <v>22163.109361395931</v>
      </c>
      <c r="AE20">
        <f t="shared" si="5"/>
        <v>1343.1566486040683</v>
      </c>
    </row>
    <row r="21" spans="1:31" x14ac:dyDescent="0.2">
      <c r="A21">
        <v>638</v>
      </c>
      <c r="B21">
        <v>22775.107800000002</v>
      </c>
      <c r="C21">
        <f t="shared" si="1"/>
        <v>24129.868435000004</v>
      </c>
      <c r="G21">
        <v>498</v>
      </c>
      <c r="H21">
        <v>35362.887549999999</v>
      </c>
      <c r="I21">
        <v>0.29926791531080182</v>
      </c>
      <c r="J21">
        <f t="shared" si="0"/>
        <v>37902.124769999995</v>
      </c>
      <c r="V21">
        <v>497</v>
      </c>
      <c r="W21">
        <v>28054.46702</v>
      </c>
      <c r="X21">
        <f t="shared" si="2"/>
        <v>26793.812417477075</v>
      </c>
      <c r="Y21">
        <f t="shared" si="3"/>
        <v>1260.6546025229254</v>
      </c>
      <c r="AB21">
        <v>497</v>
      </c>
      <c r="AC21">
        <v>27196.057049999999</v>
      </c>
      <c r="AD21">
        <f t="shared" si="4"/>
        <v>25921.090413779613</v>
      </c>
      <c r="AE21">
        <f t="shared" si="5"/>
        <v>1274.9666362203861</v>
      </c>
    </row>
    <row r="22" spans="1:31" x14ac:dyDescent="0.2">
      <c r="A22">
        <v>639</v>
      </c>
      <c r="B22">
        <v>25484.629070000003</v>
      </c>
      <c r="C22">
        <f t="shared" si="1"/>
        <v>27864.397390000002</v>
      </c>
      <c r="G22">
        <v>499</v>
      </c>
      <c r="H22">
        <v>40441.361989999998</v>
      </c>
      <c r="I22">
        <v>0.34130984706390977</v>
      </c>
      <c r="J22">
        <f t="shared" si="0"/>
        <v>43163.440484999999</v>
      </c>
      <c r="V22">
        <v>498</v>
      </c>
      <c r="W22">
        <v>32392.409479999995</v>
      </c>
      <c r="X22">
        <f t="shared" si="2"/>
        <v>30838.625776876448</v>
      </c>
      <c r="Y22">
        <f t="shared" si="3"/>
        <v>1553.7837031235467</v>
      </c>
      <c r="AB22">
        <v>498</v>
      </c>
      <c r="AC22">
        <v>31242.121499999997</v>
      </c>
      <c r="AD22">
        <f t="shared" si="4"/>
        <v>29834.157026407902</v>
      </c>
      <c r="AE22">
        <f t="shared" si="5"/>
        <v>1407.9644735920956</v>
      </c>
    </row>
    <row r="23" spans="1:31" x14ac:dyDescent="0.2">
      <c r="A23">
        <v>640</v>
      </c>
      <c r="B23">
        <v>30244.165710000001</v>
      </c>
      <c r="C23">
        <f t="shared" si="1"/>
        <v>32393.081334999999</v>
      </c>
      <c r="G23">
        <v>500</v>
      </c>
      <c r="H23">
        <v>45885.518980000001</v>
      </c>
      <c r="I23">
        <v>0.38637906604510958</v>
      </c>
      <c r="J23">
        <f t="shared" si="0"/>
        <v>48925.294825000004</v>
      </c>
      <c r="V23">
        <v>499</v>
      </c>
      <c r="W23">
        <v>37083.537959999994</v>
      </c>
      <c r="X23">
        <f t="shared" si="2"/>
        <v>35170.915788402046</v>
      </c>
      <c r="Y23">
        <f t="shared" si="3"/>
        <v>1912.6221715979482</v>
      </c>
      <c r="AB23">
        <v>499</v>
      </c>
      <c r="AC23">
        <v>35546.47133</v>
      </c>
      <c r="AD23">
        <f t="shared" si="4"/>
        <v>34025.33666660796</v>
      </c>
      <c r="AE23">
        <f t="shared" si="5"/>
        <v>1521.1346633920402</v>
      </c>
    </row>
    <row r="24" spans="1:31" x14ac:dyDescent="0.2">
      <c r="A24">
        <v>641</v>
      </c>
      <c r="B24">
        <v>34541.996959999997</v>
      </c>
      <c r="C24">
        <f t="shared" si="1"/>
        <v>36220.533244999999</v>
      </c>
      <c r="G24">
        <v>501</v>
      </c>
      <c r="H24">
        <v>51965.070670000001</v>
      </c>
      <c r="I24">
        <v>0.43670837266272294</v>
      </c>
      <c r="J24">
        <f t="shared" si="0"/>
        <v>54912.19498</v>
      </c>
      <c r="V24">
        <v>500</v>
      </c>
      <c r="W24">
        <v>42055.393259999997</v>
      </c>
      <c r="X24">
        <f t="shared" si="2"/>
        <v>39815.158311941123</v>
      </c>
      <c r="Y24">
        <f t="shared" si="3"/>
        <v>2240.2349480588746</v>
      </c>
      <c r="AB24">
        <v>500</v>
      </c>
      <c r="AC24">
        <v>40783.987220000003</v>
      </c>
      <c r="AD24">
        <f t="shared" si="4"/>
        <v>38518.307972089387</v>
      </c>
      <c r="AE24">
        <f t="shared" si="5"/>
        <v>2265.6792479106152</v>
      </c>
    </row>
    <row r="25" spans="1:31" x14ac:dyDescent="0.2">
      <c r="A25">
        <v>642</v>
      </c>
      <c r="B25">
        <v>37899.069530000001</v>
      </c>
      <c r="C25">
        <f t="shared" si="1"/>
        <v>40398.988284999999</v>
      </c>
      <c r="G25">
        <v>502</v>
      </c>
      <c r="H25">
        <v>57859.319289999999</v>
      </c>
      <c r="I25">
        <v>0.48550365580249411</v>
      </c>
      <c r="J25">
        <f t="shared" si="0"/>
        <v>60907.514284999997</v>
      </c>
      <c r="V25">
        <v>501</v>
      </c>
      <c r="W25">
        <v>46992.125210000006</v>
      </c>
      <c r="X25">
        <f t="shared" si="2"/>
        <v>45001.436469351836</v>
      </c>
      <c r="Y25">
        <f t="shared" si="3"/>
        <v>1990.6887406481692</v>
      </c>
      <c r="AB25">
        <v>501</v>
      </c>
      <c r="AC25">
        <v>45585.089870000003</v>
      </c>
      <c r="AD25">
        <f t="shared" si="4"/>
        <v>43535.659849255055</v>
      </c>
      <c r="AE25">
        <f t="shared" si="5"/>
        <v>2049.4300207449487</v>
      </c>
    </row>
    <row r="26" spans="1:31" x14ac:dyDescent="0.2">
      <c r="A26">
        <v>643</v>
      </c>
      <c r="B26">
        <v>42898.907040000006</v>
      </c>
      <c r="C26">
        <f t="shared" si="1"/>
        <v>45541.790765000005</v>
      </c>
      <c r="G26">
        <v>503</v>
      </c>
      <c r="H26">
        <v>63955.709280000003</v>
      </c>
      <c r="I26">
        <v>0.53597235756087314</v>
      </c>
      <c r="J26">
        <f t="shared" si="0"/>
        <v>67288.339794999993</v>
      </c>
      <c r="V26">
        <v>502</v>
      </c>
      <c r="W26">
        <v>52690.355889999999</v>
      </c>
      <c r="X26">
        <f t="shared" si="2"/>
        <v>50029.63828932093</v>
      </c>
      <c r="Y26">
        <f t="shared" si="3"/>
        <v>2660.7176006790687</v>
      </c>
      <c r="AB26">
        <v>502</v>
      </c>
      <c r="AC26">
        <v>50915.12</v>
      </c>
      <c r="AD26">
        <f t="shared" si="4"/>
        <v>48400.084215723124</v>
      </c>
      <c r="AE26">
        <f t="shared" si="5"/>
        <v>2515.035784276879</v>
      </c>
    </row>
    <row r="27" spans="1:31" x14ac:dyDescent="0.2">
      <c r="A27">
        <v>644</v>
      </c>
      <c r="B27">
        <v>48184.674490000005</v>
      </c>
      <c r="C27">
        <f t="shared" si="1"/>
        <v>50954.297680000003</v>
      </c>
      <c r="G27">
        <v>504</v>
      </c>
      <c r="H27">
        <v>70620.97030999999</v>
      </c>
      <c r="I27">
        <v>0.59115043370373732</v>
      </c>
      <c r="J27">
        <f t="shared" si="0"/>
        <v>73855.061779999989</v>
      </c>
      <c r="V27">
        <v>503</v>
      </c>
      <c r="W27">
        <v>58134.466840000001</v>
      </c>
      <c r="X27">
        <f t="shared" si="2"/>
        <v>55230.28068145665</v>
      </c>
      <c r="Y27">
        <f t="shared" si="3"/>
        <v>2904.1861585433508</v>
      </c>
      <c r="AB27">
        <v>503</v>
      </c>
      <c r="AC27">
        <v>56416.7621</v>
      </c>
      <c r="AD27">
        <f t="shared" si="4"/>
        <v>53431.332459006095</v>
      </c>
      <c r="AE27">
        <f t="shared" si="5"/>
        <v>2985.4296409939052</v>
      </c>
    </row>
    <row r="28" spans="1:31" x14ac:dyDescent="0.2">
      <c r="A28">
        <v>645</v>
      </c>
      <c r="B28">
        <v>53723.920870000002</v>
      </c>
      <c r="C28">
        <f t="shared" si="1"/>
        <v>56568.882039999997</v>
      </c>
      <c r="G28">
        <v>505</v>
      </c>
      <c r="H28">
        <v>77089.153250000003</v>
      </c>
      <c r="I28">
        <v>0.64469700737323055</v>
      </c>
      <c r="J28">
        <f t="shared" si="0"/>
        <v>80082.508730000001</v>
      </c>
      <c r="V28">
        <v>504</v>
      </c>
      <c r="W28">
        <v>63303.824230000006</v>
      </c>
      <c r="X28">
        <f t="shared" si="2"/>
        <v>60916.209423569162</v>
      </c>
      <c r="Y28">
        <f t="shared" si="3"/>
        <v>2387.6148064308436</v>
      </c>
      <c r="AB28">
        <v>504</v>
      </c>
      <c r="AC28">
        <v>61847.049740000002</v>
      </c>
      <c r="AD28">
        <f t="shared" si="4"/>
        <v>58932.060414930354</v>
      </c>
      <c r="AE28">
        <f t="shared" si="5"/>
        <v>2914.9893250696477</v>
      </c>
    </row>
    <row r="29" spans="1:31" x14ac:dyDescent="0.2">
      <c r="A29">
        <v>646</v>
      </c>
      <c r="B29">
        <v>59413.843209999999</v>
      </c>
      <c r="C29">
        <f t="shared" si="1"/>
        <v>61560.767819999994</v>
      </c>
      <c r="G29">
        <v>506</v>
      </c>
      <c r="H29">
        <v>83075.86421</v>
      </c>
      <c r="I29">
        <v>0.69425773600927021</v>
      </c>
      <c r="J29">
        <f t="shared" si="0"/>
        <v>85758.084640000001</v>
      </c>
      <c r="V29">
        <v>505</v>
      </c>
      <c r="W29">
        <v>69618.721009999994</v>
      </c>
      <c r="X29">
        <f t="shared" si="2"/>
        <v>66434.016921618211</v>
      </c>
      <c r="Y29">
        <f t="shared" si="3"/>
        <v>3184.7040883817826</v>
      </c>
      <c r="AB29">
        <v>505</v>
      </c>
      <c r="AC29">
        <v>67278.83455</v>
      </c>
      <c r="AD29">
        <f t="shared" si="4"/>
        <v>64270.14313396388</v>
      </c>
      <c r="AE29">
        <f t="shared" si="5"/>
        <v>3008.6914160361193</v>
      </c>
    </row>
    <row r="30" spans="1:31" x14ac:dyDescent="0.2">
      <c r="A30">
        <v>647</v>
      </c>
      <c r="B30">
        <v>63707.692429999996</v>
      </c>
      <c r="C30">
        <f t="shared" si="1"/>
        <v>66757.938220000011</v>
      </c>
      <c r="G30">
        <v>507</v>
      </c>
      <c r="H30">
        <v>88440.305070000002</v>
      </c>
      <c r="I30">
        <v>0.73866702844428422</v>
      </c>
      <c r="J30">
        <f t="shared" si="0"/>
        <v>91649.817129999996</v>
      </c>
      <c r="V30">
        <v>506</v>
      </c>
      <c r="W30">
        <v>75344.365189999997</v>
      </c>
      <c r="X30">
        <f t="shared" si="2"/>
        <v>71541.095513885142</v>
      </c>
      <c r="Y30">
        <f t="shared" si="3"/>
        <v>3803.2696761148545</v>
      </c>
      <c r="AB30">
        <v>506</v>
      </c>
      <c r="AC30">
        <v>72788.745739999998</v>
      </c>
      <c r="AD30">
        <f t="shared" si="4"/>
        <v>69210.875116325609</v>
      </c>
      <c r="AE30">
        <f t="shared" si="5"/>
        <v>3577.8706236743892</v>
      </c>
    </row>
    <row r="31" spans="1:31" x14ac:dyDescent="0.2">
      <c r="A31">
        <v>648</v>
      </c>
      <c r="B31">
        <v>69808.184010000012</v>
      </c>
      <c r="C31">
        <f t="shared" si="1"/>
        <v>73765.583890000009</v>
      </c>
      <c r="G31">
        <v>508</v>
      </c>
      <c r="H31">
        <v>94859.329189999989</v>
      </c>
      <c r="I31">
        <v>0.79180664294130887</v>
      </c>
      <c r="J31">
        <f t="shared" si="0"/>
        <v>97451.310964999982</v>
      </c>
      <c r="V31">
        <v>507</v>
      </c>
      <c r="W31">
        <v>80179.885020000002</v>
      </c>
      <c r="X31">
        <f t="shared" si="2"/>
        <v>76117.334664002396</v>
      </c>
      <c r="Y31">
        <f t="shared" si="3"/>
        <v>4062.5503559976059</v>
      </c>
      <c r="AB31">
        <v>507</v>
      </c>
      <c r="AC31">
        <v>77709.562080000003</v>
      </c>
      <c r="AD31">
        <f t="shared" si="4"/>
        <v>73638.058038898176</v>
      </c>
      <c r="AE31">
        <f t="shared" si="5"/>
        <v>4071.5040411018272</v>
      </c>
    </row>
    <row r="32" spans="1:31" x14ac:dyDescent="0.2">
      <c r="A32">
        <v>649</v>
      </c>
      <c r="B32">
        <v>77722.983769999992</v>
      </c>
      <c r="C32">
        <f t="shared" si="1"/>
        <v>80868.248345</v>
      </c>
      <c r="G32">
        <v>509</v>
      </c>
      <c r="H32">
        <v>100043.29273999999</v>
      </c>
      <c r="I32">
        <v>0.83472186174463514</v>
      </c>
      <c r="J32">
        <f t="shared" si="0"/>
        <v>102524.86575500001</v>
      </c>
      <c r="V32">
        <v>508</v>
      </c>
      <c r="W32">
        <v>84579.850079999989</v>
      </c>
      <c r="X32">
        <f t="shared" si="2"/>
        <v>81593.206287926107</v>
      </c>
      <c r="Y32">
        <f t="shared" si="3"/>
        <v>2986.6437920738827</v>
      </c>
      <c r="AB32">
        <v>508</v>
      </c>
      <c r="AC32">
        <v>82104.427069999991</v>
      </c>
      <c r="AD32">
        <f t="shared" si="4"/>
        <v>78935.570809622484</v>
      </c>
      <c r="AE32">
        <f t="shared" si="5"/>
        <v>3168.8562603775063</v>
      </c>
    </row>
    <row r="33" spans="1:31" x14ac:dyDescent="0.2">
      <c r="A33">
        <v>650</v>
      </c>
      <c r="B33">
        <v>84013.512920000008</v>
      </c>
      <c r="C33">
        <f t="shared" si="1"/>
        <v>87288.440239999996</v>
      </c>
      <c r="G33">
        <v>510</v>
      </c>
      <c r="H33">
        <v>105006.43877000001</v>
      </c>
      <c r="I33">
        <v>0.87580905222658023</v>
      </c>
      <c r="J33">
        <f t="shared" si="0"/>
        <v>107034.02134000001</v>
      </c>
      <c r="V33">
        <v>509</v>
      </c>
      <c r="W33">
        <v>88676.715049999999</v>
      </c>
      <c r="X33">
        <f t="shared" si="2"/>
        <v>86015.485807713907</v>
      </c>
      <c r="Y33">
        <f t="shared" si="3"/>
        <v>2661.2292422860919</v>
      </c>
      <c r="AB33">
        <v>509</v>
      </c>
      <c r="AC33">
        <v>86432.318399999989</v>
      </c>
      <c r="AD33">
        <f t="shared" si="4"/>
        <v>83213.808840155776</v>
      </c>
      <c r="AE33">
        <f t="shared" si="5"/>
        <v>3218.5095598442131</v>
      </c>
    </row>
    <row r="34" spans="1:31" x14ac:dyDescent="0.2">
      <c r="A34">
        <v>651</v>
      </c>
      <c r="B34">
        <v>90563.367559999999</v>
      </c>
      <c r="C34">
        <f t="shared" si="1"/>
        <v>93808.715664999996</v>
      </c>
      <c r="G34">
        <v>511</v>
      </c>
      <c r="H34">
        <v>109061.60391000001</v>
      </c>
      <c r="I34">
        <v>0.90937956204753001</v>
      </c>
      <c r="J34">
        <f t="shared" si="0"/>
        <v>110792.52069999999</v>
      </c>
      <c r="V34">
        <v>510</v>
      </c>
      <c r="W34">
        <v>92961.649440000008</v>
      </c>
      <c r="X34">
        <f t="shared" si="2"/>
        <v>90249.392707422943</v>
      </c>
      <c r="Y34">
        <f t="shared" si="3"/>
        <v>2712.2567325770651</v>
      </c>
      <c r="AB34">
        <v>510</v>
      </c>
      <c r="AC34">
        <v>89666.265119999996</v>
      </c>
      <c r="AD34">
        <f t="shared" si="4"/>
        <v>87309.809881026595</v>
      </c>
      <c r="AE34">
        <f t="shared" si="5"/>
        <v>2356.4552389734017</v>
      </c>
    </row>
    <row r="35" spans="1:31" x14ac:dyDescent="0.2">
      <c r="A35">
        <v>652</v>
      </c>
      <c r="B35">
        <v>97054.063769999993</v>
      </c>
      <c r="C35">
        <f t="shared" si="1"/>
        <v>100098.71513</v>
      </c>
      <c r="G35">
        <v>512</v>
      </c>
      <c r="H35">
        <v>112523.43749</v>
      </c>
      <c r="I35">
        <v>0.93803820212350075</v>
      </c>
      <c r="J35">
        <f t="shared" si="0"/>
        <v>113702.02554500001</v>
      </c>
      <c r="V35">
        <v>511</v>
      </c>
      <c r="W35">
        <v>95956.289090000006</v>
      </c>
      <c r="X35">
        <f t="shared" si="2"/>
        <v>93708.729096464376</v>
      </c>
      <c r="Y35">
        <f t="shared" si="3"/>
        <v>2247.5599935356295</v>
      </c>
      <c r="AB35">
        <v>511</v>
      </c>
      <c r="AC35">
        <v>92703.022620000003</v>
      </c>
      <c r="AD35">
        <f t="shared" si="4"/>
        <v>90656.469546880297</v>
      </c>
      <c r="AE35">
        <f t="shared" si="5"/>
        <v>2046.5530731197068</v>
      </c>
    </row>
    <row r="36" spans="1:31" x14ac:dyDescent="0.2">
      <c r="A36">
        <v>653</v>
      </c>
      <c r="B36">
        <v>103143.36649</v>
      </c>
      <c r="C36">
        <f t="shared" si="1"/>
        <v>106122.65074000001</v>
      </c>
      <c r="G36">
        <v>513</v>
      </c>
      <c r="H36">
        <v>114880.61360000001</v>
      </c>
      <c r="I36">
        <v>0.95755198294833388</v>
      </c>
      <c r="J36">
        <f t="shared" si="0"/>
        <v>116000.62503000001</v>
      </c>
      <c r="V36">
        <v>512</v>
      </c>
      <c r="W36">
        <v>98582.538920000006</v>
      </c>
      <c r="X36">
        <f t="shared" si="2"/>
        <v>96661.912619860799</v>
      </c>
      <c r="Y36">
        <f t="shared" si="3"/>
        <v>1920.6263001392072</v>
      </c>
      <c r="AB36">
        <v>512</v>
      </c>
      <c r="AC36">
        <v>95932.613299999997</v>
      </c>
      <c r="AD36">
        <f t="shared" si="4"/>
        <v>93513.462643857842</v>
      </c>
      <c r="AE36">
        <f t="shared" si="5"/>
        <v>2419.1506561421556</v>
      </c>
    </row>
    <row r="37" spans="1:31" x14ac:dyDescent="0.2">
      <c r="A37">
        <v>654</v>
      </c>
      <c r="B37">
        <v>109101.93499000001</v>
      </c>
      <c r="C37">
        <f t="shared" si="1"/>
        <v>111037.805055</v>
      </c>
      <c r="G37">
        <v>514</v>
      </c>
      <c r="H37">
        <v>117120.63646000001</v>
      </c>
      <c r="I37">
        <v>0.97609591564272036</v>
      </c>
      <c r="J37">
        <f t="shared" si="0"/>
        <v>118142.512115</v>
      </c>
      <c r="V37">
        <v>513</v>
      </c>
      <c r="W37">
        <v>100497.76718000001</v>
      </c>
      <c r="X37">
        <f t="shared" si="2"/>
        <v>98672.746904331449</v>
      </c>
      <c r="Y37">
        <f t="shared" si="3"/>
        <v>1825.0202756685612</v>
      </c>
      <c r="AB37">
        <v>513</v>
      </c>
      <c r="AC37">
        <v>97245.409390000001</v>
      </c>
      <c r="AD37">
        <f t="shared" si="4"/>
        <v>95458.800488385416</v>
      </c>
      <c r="AE37">
        <f t="shared" si="5"/>
        <v>1786.6089016145852</v>
      </c>
    </row>
    <row r="38" spans="1:31" x14ac:dyDescent="0.2">
      <c r="A38">
        <v>655</v>
      </c>
      <c r="B38">
        <v>112973.67512</v>
      </c>
      <c r="C38">
        <f t="shared" si="1"/>
        <v>116400.41965</v>
      </c>
      <c r="G38">
        <v>515</v>
      </c>
      <c r="H38">
        <v>119164.38777</v>
      </c>
      <c r="I38">
        <v>0.99301502277036091</v>
      </c>
      <c r="J38">
        <f t="shared" si="0"/>
        <v>119350.32462</v>
      </c>
      <c r="V38">
        <v>514</v>
      </c>
      <c r="W38">
        <v>102183.47572</v>
      </c>
      <c r="X38">
        <f t="shared" si="2"/>
        <v>100583.64136222834</v>
      </c>
      <c r="Y38">
        <f t="shared" si="3"/>
        <v>1599.8343577716587</v>
      </c>
      <c r="AB38">
        <v>514</v>
      </c>
      <c r="AC38">
        <v>98305.164910000007</v>
      </c>
      <c r="AD38">
        <f t="shared" si="4"/>
        <v>97307.453723787883</v>
      </c>
      <c r="AE38">
        <f t="shared" si="5"/>
        <v>997.71118621212372</v>
      </c>
    </row>
    <row r="39" spans="1:31" x14ac:dyDescent="0.2">
      <c r="A39">
        <v>656</v>
      </c>
      <c r="B39">
        <v>119827.16417999999</v>
      </c>
      <c r="C39">
        <f t="shared" si="1"/>
        <v>121646.585335</v>
      </c>
      <c r="G39">
        <v>516</v>
      </c>
      <c r="H39">
        <v>119536.26147</v>
      </c>
      <c r="I39">
        <v>0.99609356316686937</v>
      </c>
      <c r="J39">
        <f t="shared" si="0"/>
        <v>119772.20138499999</v>
      </c>
      <c r="V39">
        <v>515</v>
      </c>
      <c r="W39">
        <v>102627.83159999999</v>
      </c>
      <c r="X39">
        <f t="shared" si="2"/>
        <v>102327.10261047581</v>
      </c>
      <c r="Y39">
        <f t="shared" si="3"/>
        <v>300.72898952418473</v>
      </c>
      <c r="AB39">
        <v>515</v>
      </c>
      <c r="AC39">
        <v>99690.46295999999</v>
      </c>
      <c r="AD39">
        <f t="shared" si="4"/>
        <v>98994.127346212204</v>
      </c>
      <c r="AE39">
        <f t="shared" si="5"/>
        <v>696.33561378778541</v>
      </c>
    </row>
    <row r="40" spans="1:31" x14ac:dyDescent="0.2">
      <c r="A40">
        <v>657</v>
      </c>
      <c r="B40">
        <v>123466.00649</v>
      </c>
      <c r="C40">
        <f t="shared" si="1"/>
        <v>125064.88386</v>
      </c>
      <c r="G40">
        <v>517</v>
      </c>
      <c r="H40">
        <v>120008.1413</v>
      </c>
      <c r="I40">
        <v>1</v>
      </c>
      <c r="J40">
        <f t="shared" si="0"/>
        <v>119593.15813500001</v>
      </c>
      <c r="V40">
        <v>516</v>
      </c>
      <c r="W40">
        <v>103046.88274</v>
      </c>
      <c r="X40">
        <f t="shared" si="2"/>
        <v>102644.33660172517</v>
      </c>
      <c r="Y40">
        <f t="shared" si="3"/>
        <v>402.54613827483263</v>
      </c>
      <c r="AB40">
        <v>516</v>
      </c>
      <c r="AC40">
        <v>99307.086490000002</v>
      </c>
      <c r="AD40">
        <f t="shared" si="4"/>
        <v>99301.028463581199</v>
      </c>
      <c r="AE40">
        <f t="shared" si="5"/>
        <v>6.0580264188029105</v>
      </c>
    </row>
    <row r="41" spans="1:31" x14ac:dyDescent="0.2">
      <c r="A41">
        <v>658</v>
      </c>
      <c r="B41">
        <v>126663.76123</v>
      </c>
      <c r="C41">
        <f t="shared" si="1"/>
        <v>128291.99086000001</v>
      </c>
      <c r="G41">
        <v>518</v>
      </c>
      <c r="H41">
        <v>119178.17497000001</v>
      </c>
      <c r="I41">
        <v>0.99312915951128877</v>
      </c>
      <c r="J41">
        <f t="shared" si="0"/>
        <v>118710.41863</v>
      </c>
      <c r="V41">
        <v>517</v>
      </c>
      <c r="W41">
        <v>102380.3566</v>
      </c>
      <c r="X41">
        <f t="shared" si="2"/>
        <v>103046.88274</v>
      </c>
      <c r="Y41">
        <f t="shared" si="3"/>
        <v>-666.52614000000176</v>
      </c>
      <c r="AB41">
        <v>517</v>
      </c>
      <c r="AC41">
        <v>99198.413130000001</v>
      </c>
      <c r="AD41">
        <f t="shared" si="4"/>
        <v>99690.46295999999</v>
      </c>
      <c r="AE41">
        <f t="shared" si="5"/>
        <v>-492.04982999998902</v>
      </c>
    </row>
    <row r="42" spans="1:31" x14ac:dyDescent="0.2">
      <c r="A42">
        <v>659</v>
      </c>
      <c r="B42">
        <v>129920.22049000001</v>
      </c>
      <c r="C42">
        <f t="shared" si="1"/>
        <v>132304.077915</v>
      </c>
      <c r="G42">
        <v>519</v>
      </c>
      <c r="H42">
        <v>118242.66228999999</v>
      </c>
      <c r="I42">
        <v>0.98538455811348635</v>
      </c>
      <c r="J42">
        <f t="shared" si="0"/>
        <v>117902.23532000001</v>
      </c>
      <c r="V42">
        <v>518</v>
      </c>
      <c r="W42">
        <v>101862.59016000001</v>
      </c>
      <c r="X42">
        <f t="shared" si="2"/>
        <v>102338.86404583453</v>
      </c>
      <c r="Y42">
        <f t="shared" si="3"/>
        <v>-476.27388583452557</v>
      </c>
      <c r="AB42">
        <v>518</v>
      </c>
      <c r="AC42">
        <v>98313.968850000005</v>
      </c>
      <c r="AD42">
        <f t="shared" si="4"/>
        <v>99005.50569075605</v>
      </c>
      <c r="AE42">
        <f t="shared" si="5"/>
        <v>-691.53684075604542</v>
      </c>
    </row>
    <row r="43" spans="1:31" x14ac:dyDescent="0.2">
      <c r="A43">
        <v>660</v>
      </c>
      <c r="B43">
        <v>134687.93534</v>
      </c>
      <c r="C43">
        <f t="shared" si="1"/>
        <v>134327.12309499999</v>
      </c>
      <c r="G43">
        <v>520</v>
      </c>
      <c r="H43">
        <v>117561.80835000001</v>
      </c>
      <c r="I43">
        <v>0.97974813811817096</v>
      </c>
      <c r="J43">
        <f t="shared" si="0"/>
        <v>116483.39068000001</v>
      </c>
      <c r="V43">
        <v>519</v>
      </c>
      <c r="W43">
        <v>100305.30206999999</v>
      </c>
      <c r="X43">
        <f t="shared" si="2"/>
        <v>101540.80701372714</v>
      </c>
      <c r="Y43">
        <f t="shared" si="3"/>
        <v>-1235.5049437271518</v>
      </c>
      <c r="AB43">
        <v>519</v>
      </c>
      <c r="AC43">
        <v>97011.566319999998</v>
      </c>
      <c r="AD43">
        <f t="shared" si="4"/>
        <v>98233.442791968468</v>
      </c>
      <c r="AE43">
        <f t="shared" si="5"/>
        <v>-1221.8764719684696</v>
      </c>
    </row>
    <row r="44" spans="1:31" x14ac:dyDescent="0.2">
      <c r="A44">
        <v>661</v>
      </c>
      <c r="B44">
        <v>133966.31084999998</v>
      </c>
      <c r="C44">
        <f t="shared" si="1"/>
        <v>135339.99951499997</v>
      </c>
      <c r="G44">
        <v>521</v>
      </c>
      <c r="H44">
        <v>115404.97301</v>
      </c>
      <c r="I44">
        <v>0.96189286972245724</v>
      </c>
      <c r="J44">
        <f t="shared" si="0"/>
        <v>114419.1943</v>
      </c>
      <c r="V44">
        <v>520</v>
      </c>
      <c r="W44">
        <v>99305.015429999999</v>
      </c>
      <c r="X44">
        <f t="shared" si="2"/>
        <v>100959.99150339649</v>
      </c>
      <c r="Y44">
        <f t="shared" si="3"/>
        <v>-1654.976073396494</v>
      </c>
      <c r="AB44">
        <v>520</v>
      </c>
      <c r="AC44">
        <v>95864.287500000006</v>
      </c>
      <c r="AD44">
        <f t="shared" si="4"/>
        <v>97671.545473198479</v>
      </c>
      <c r="AE44">
        <f t="shared" si="5"/>
        <v>-1807.2579731984733</v>
      </c>
    </row>
    <row r="45" spans="1:31" x14ac:dyDescent="0.2">
      <c r="A45">
        <v>662</v>
      </c>
      <c r="B45">
        <v>136713.68818</v>
      </c>
      <c r="C45">
        <f t="shared" si="1"/>
        <v>136264.03954500001</v>
      </c>
      <c r="G45">
        <v>522</v>
      </c>
      <c r="H45">
        <v>113433.41559</v>
      </c>
      <c r="I45">
        <v>0.94557141660139488</v>
      </c>
      <c r="J45">
        <f t="shared" si="0"/>
        <v>112556.53015999999</v>
      </c>
      <c r="V45">
        <v>521</v>
      </c>
      <c r="W45">
        <v>96576.025690000009</v>
      </c>
      <c r="X45">
        <f t="shared" si="2"/>
        <v>99120.061754732145</v>
      </c>
      <c r="Y45">
        <f t="shared" si="3"/>
        <v>-2544.0360647321359</v>
      </c>
      <c r="AB45">
        <v>521</v>
      </c>
      <c r="AC45">
        <v>93925.577710000012</v>
      </c>
      <c r="AD45">
        <f t="shared" si="4"/>
        <v>95891.545500554726</v>
      </c>
      <c r="AE45">
        <f t="shared" si="5"/>
        <v>-1965.9677905547142</v>
      </c>
    </row>
    <row r="46" spans="1:31" x14ac:dyDescent="0.2">
      <c r="A46">
        <v>663</v>
      </c>
      <c r="B46">
        <v>135814.39090999999</v>
      </c>
      <c r="C46">
        <f t="shared" si="1"/>
        <v>135602.09274999998</v>
      </c>
      <c r="G46">
        <v>523</v>
      </c>
      <c r="H46">
        <v>111679.64473</v>
      </c>
      <c r="I46">
        <v>0.93105290012999764</v>
      </c>
      <c r="J46">
        <f t="shared" si="0"/>
        <v>110592.97083999999</v>
      </c>
      <c r="V46">
        <v>522</v>
      </c>
      <c r="W46">
        <v>94640.426420000003</v>
      </c>
      <c r="X46">
        <f t="shared" si="2"/>
        <v>97438.186888819633</v>
      </c>
      <c r="Y46">
        <f t="shared" si="3"/>
        <v>-2797.7604688196298</v>
      </c>
      <c r="AB46">
        <v>522</v>
      </c>
      <c r="AC46">
        <v>91771.757490000004</v>
      </c>
      <c r="AD46">
        <f t="shared" si="4"/>
        <v>94264.452282736078</v>
      </c>
      <c r="AE46">
        <f t="shared" si="5"/>
        <v>-2492.6947927360743</v>
      </c>
    </row>
    <row r="47" spans="1:31" x14ac:dyDescent="0.2">
      <c r="A47">
        <v>664</v>
      </c>
      <c r="B47">
        <v>135389.79458999998</v>
      </c>
      <c r="C47">
        <f t="shared" si="1"/>
        <v>134917.13907499998</v>
      </c>
      <c r="G47">
        <v>524</v>
      </c>
      <c r="H47">
        <v>109506.29694999999</v>
      </c>
      <c r="I47">
        <v>0.91306093421148271</v>
      </c>
      <c r="J47">
        <f t="shared" si="0"/>
        <v>108029.840625</v>
      </c>
      <c r="V47">
        <v>523</v>
      </c>
      <c r="W47">
        <v>92502.804960000009</v>
      </c>
      <c r="X47">
        <f t="shared" si="2"/>
        <v>95942.099024432799</v>
      </c>
      <c r="Y47">
        <f t="shared" si="3"/>
        <v>-3439.29406443279</v>
      </c>
      <c r="AB47">
        <v>523</v>
      </c>
      <c r="AC47">
        <v>89695.939339999997</v>
      </c>
      <c r="AD47">
        <f t="shared" si="4"/>
        <v>92817.094654210101</v>
      </c>
      <c r="AE47">
        <f t="shared" si="5"/>
        <v>-3121.1553142101038</v>
      </c>
    </row>
    <row r="48" spans="1:31" x14ac:dyDescent="0.2">
      <c r="A48">
        <v>665</v>
      </c>
      <c r="B48">
        <v>134444.48355999999</v>
      </c>
      <c r="C48">
        <f t="shared" si="1"/>
        <v>134426.43178500002</v>
      </c>
      <c r="G48">
        <v>525</v>
      </c>
      <c r="H48">
        <v>106553.38430000001</v>
      </c>
      <c r="I48">
        <v>0.88861537411840319</v>
      </c>
      <c r="J48">
        <f t="shared" si="0"/>
        <v>105612.10185500002</v>
      </c>
      <c r="V48">
        <v>524</v>
      </c>
      <c r="W48">
        <v>89887.721279999998</v>
      </c>
      <c r="X48">
        <f t="shared" si="2"/>
        <v>94088.08302216552</v>
      </c>
      <c r="Y48">
        <f t="shared" si="3"/>
        <v>-4200.3617421655217</v>
      </c>
      <c r="AB48">
        <v>524</v>
      </c>
      <c r="AC48">
        <v>87364.513189999998</v>
      </c>
      <c r="AD48">
        <f t="shared" si="4"/>
        <v>91023.4672422328</v>
      </c>
      <c r="AE48">
        <f t="shared" si="5"/>
        <v>-3658.9540522328025</v>
      </c>
    </row>
    <row r="49" spans="1:31" x14ac:dyDescent="0.2">
      <c r="A49">
        <v>666</v>
      </c>
      <c r="B49">
        <v>134408.38001000002</v>
      </c>
      <c r="C49">
        <f t="shared" si="1"/>
        <v>133245.45485500002</v>
      </c>
      <c r="G49">
        <v>526</v>
      </c>
      <c r="H49">
        <v>104670.81941000001</v>
      </c>
      <c r="I49">
        <v>0.87303064182108414</v>
      </c>
      <c r="J49">
        <f t="shared" si="0"/>
        <v>102976.16491000001</v>
      </c>
      <c r="V49">
        <v>525</v>
      </c>
      <c r="W49">
        <v>87365.909169999999</v>
      </c>
      <c r="X49">
        <f t="shared" si="2"/>
        <v>91569.04425774033</v>
      </c>
      <c r="Y49">
        <f t="shared" si="3"/>
        <v>-4203.1350877403311</v>
      </c>
      <c r="AB49">
        <v>525</v>
      </c>
      <c r="AC49">
        <v>85330.764090000011</v>
      </c>
      <c r="AD49">
        <f t="shared" si="4"/>
        <v>88586.478039237205</v>
      </c>
      <c r="AE49">
        <f t="shared" si="5"/>
        <v>-3255.7139492371934</v>
      </c>
    </row>
    <row r="50" spans="1:31" x14ac:dyDescent="0.2">
      <c r="A50">
        <v>667</v>
      </c>
      <c r="B50">
        <v>132082.52970000001</v>
      </c>
      <c r="C50">
        <f t="shared" si="1"/>
        <v>130028.35586000001</v>
      </c>
      <c r="G50">
        <v>527</v>
      </c>
      <c r="H50">
        <v>101281.51041</v>
      </c>
      <c r="I50">
        <v>0.84497239335460272</v>
      </c>
      <c r="J50">
        <f t="shared" si="0"/>
        <v>100036.10152500001</v>
      </c>
      <c r="V50">
        <v>526</v>
      </c>
      <c r="W50">
        <v>85505.112280000001</v>
      </c>
      <c r="X50">
        <f t="shared" si="2"/>
        <v>89963.086176164201</v>
      </c>
      <c r="Y50">
        <f t="shared" si="3"/>
        <v>-4457.9738961641997</v>
      </c>
      <c r="AB50">
        <v>526</v>
      </c>
      <c r="AC50">
        <v>82414.039390000005</v>
      </c>
      <c r="AD50">
        <f t="shared" si="4"/>
        <v>87032.828861409813</v>
      </c>
      <c r="AE50">
        <f t="shared" si="5"/>
        <v>-4618.7894714098074</v>
      </c>
    </row>
    <row r="51" spans="1:31" x14ac:dyDescent="0.2">
      <c r="A51">
        <v>668</v>
      </c>
      <c r="B51">
        <v>127974.18202000001</v>
      </c>
      <c r="C51">
        <f t="shared" si="1"/>
        <v>126812.18536500001</v>
      </c>
      <c r="G51">
        <v>528</v>
      </c>
      <c r="H51">
        <v>98790.692640000008</v>
      </c>
      <c r="I51">
        <v>0.82435226580784127</v>
      </c>
      <c r="J51">
        <f t="shared" si="0"/>
        <v>97233.881105000008</v>
      </c>
      <c r="V51">
        <v>527</v>
      </c>
      <c r="W51">
        <v>82827.059469999993</v>
      </c>
      <c r="X51">
        <f t="shared" si="2"/>
        <v>87071.771136548909</v>
      </c>
      <c r="Y51">
        <f t="shared" si="3"/>
        <v>-4244.7116665489157</v>
      </c>
      <c r="AB51">
        <v>527</v>
      </c>
      <c r="AC51">
        <v>80158.250749999992</v>
      </c>
      <c r="AD51">
        <f t="shared" si="4"/>
        <v>84235.689081939563</v>
      </c>
      <c r="AE51">
        <f t="shared" si="5"/>
        <v>-4077.4383319395711</v>
      </c>
    </row>
    <row r="52" spans="1:31" x14ac:dyDescent="0.2">
      <c r="A52">
        <v>669</v>
      </c>
      <c r="B52">
        <v>125650.18871</v>
      </c>
      <c r="C52">
        <f t="shared" si="1"/>
        <v>123221.4834</v>
      </c>
      <c r="G52">
        <v>529</v>
      </c>
      <c r="H52">
        <v>95677.069570000007</v>
      </c>
      <c r="I52">
        <v>0.79857627142992271</v>
      </c>
      <c r="J52">
        <f t="shared" si="0"/>
        <v>94371.668745000003</v>
      </c>
      <c r="V52">
        <v>528</v>
      </c>
      <c r="W52">
        <v>79530.491770000008</v>
      </c>
      <c r="X52">
        <f t="shared" si="2"/>
        <v>84946.931271153924</v>
      </c>
      <c r="Y52">
        <f t="shared" si="3"/>
        <v>-5416.4395011539164</v>
      </c>
      <c r="AB52">
        <v>528</v>
      </c>
      <c r="AC52">
        <v>77388.696299999996</v>
      </c>
      <c r="AD52">
        <f t="shared" si="4"/>
        <v>82180.059020508663</v>
      </c>
      <c r="AE52">
        <f t="shared" si="5"/>
        <v>-4791.3627205086668</v>
      </c>
    </row>
    <row r="53" spans="1:31" x14ac:dyDescent="0.2">
      <c r="A53">
        <v>670</v>
      </c>
      <c r="B53">
        <v>120792.77808999999</v>
      </c>
      <c r="C53">
        <f t="shared" si="1"/>
        <v>119290.16883</v>
      </c>
      <c r="G53">
        <v>530</v>
      </c>
      <c r="H53">
        <v>93066.267920000013</v>
      </c>
      <c r="I53">
        <v>0.77696286250426883</v>
      </c>
      <c r="J53">
        <f t="shared" si="0"/>
        <v>91196.342529999994</v>
      </c>
      <c r="V53">
        <v>529</v>
      </c>
      <c r="W53">
        <v>77093.538629999995</v>
      </c>
      <c r="X53">
        <f t="shared" si="2"/>
        <v>82290.795400985662</v>
      </c>
      <c r="Y53">
        <f t="shared" si="3"/>
        <v>-5197.2567709856667</v>
      </c>
      <c r="AB53">
        <v>529</v>
      </c>
      <c r="AC53">
        <v>74328.888649999994</v>
      </c>
      <c r="AD53">
        <f t="shared" si="4"/>
        <v>79610.438207719606</v>
      </c>
      <c r="AE53">
        <f t="shared" si="5"/>
        <v>-5281.5495577196125</v>
      </c>
    </row>
    <row r="54" spans="1:31" x14ac:dyDescent="0.2">
      <c r="A54">
        <v>671</v>
      </c>
      <c r="B54">
        <v>117787.55957</v>
      </c>
      <c r="C54">
        <f t="shared" si="1"/>
        <v>115442.17767</v>
      </c>
      <c r="G54">
        <v>531</v>
      </c>
      <c r="H54">
        <v>89326.41713999999</v>
      </c>
      <c r="I54">
        <v>0.74600266902152512</v>
      </c>
      <c r="J54">
        <f t="shared" si="0"/>
        <v>87828.377624999994</v>
      </c>
      <c r="V54">
        <v>530</v>
      </c>
      <c r="W54">
        <v>74429.930370000002</v>
      </c>
      <c r="X54">
        <f t="shared" si="2"/>
        <v>80063.60098581214</v>
      </c>
      <c r="Y54">
        <f t="shared" si="3"/>
        <v>-5633.6706158121378</v>
      </c>
      <c r="AB54">
        <v>530</v>
      </c>
      <c r="AC54">
        <v>72285.405370000008</v>
      </c>
      <c r="AD54">
        <f t="shared" si="4"/>
        <v>77455.787465777379</v>
      </c>
      <c r="AE54">
        <f t="shared" si="5"/>
        <v>-5170.3820957773714</v>
      </c>
    </row>
    <row r="55" spans="1:31" x14ac:dyDescent="0.2">
      <c r="A55">
        <v>672</v>
      </c>
      <c r="B55">
        <v>113096.79577</v>
      </c>
      <c r="C55">
        <f t="shared" si="1"/>
        <v>110395.98940999999</v>
      </c>
      <c r="G55">
        <v>532</v>
      </c>
      <c r="H55">
        <v>86330.338109999997</v>
      </c>
      <c r="I55">
        <v>0.72119975791222402</v>
      </c>
      <c r="J55">
        <f t="shared" si="0"/>
        <v>84840.241139999998</v>
      </c>
      <c r="V55">
        <v>531</v>
      </c>
      <c r="W55">
        <v>71959.351459999991</v>
      </c>
      <c r="X55">
        <f t="shared" si="2"/>
        <v>76873.249558388125</v>
      </c>
      <c r="Y55">
        <f t="shared" si="3"/>
        <v>-4913.8980983881338</v>
      </c>
      <c r="AB55">
        <v>531</v>
      </c>
      <c r="AC55">
        <v>69725.074559999994</v>
      </c>
      <c r="AD55">
        <f t="shared" si="4"/>
        <v>74369.351444151485</v>
      </c>
      <c r="AE55">
        <f t="shared" si="5"/>
        <v>-4644.2768841514917</v>
      </c>
    </row>
    <row r="56" spans="1:31" x14ac:dyDescent="0.2">
      <c r="A56">
        <v>673</v>
      </c>
      <c r="B56">
        <v>107695.18304999999</v>
      </c>
      <c r="C56">
        <f t="shared" si="1"/>
        <v>105553.14040999999</v>
      </c>
      <c r="G56">
        <v>533</v>
      </c>
      <c r="H56">
        <v>83350.14417</v>
      </c>
      <c r="I56">
        <v>0.69652835083578979</v>
      </c>
      <c r="J56">
        <f t="shared" si="0"/>
        <v>81742.091065000001</v>
      </c>
      <c r="V56">
        <v>532</v>
      </c>
      <c r="W56">
        <v>68946.845480000004</v>
      </c>
      <c r="X56">
        <f t="shared" si="2"/>
        <v>74317.386885697342</v>
      </c>
      <c r="Y56">
        <f t="shared" si="3"/>
        <v>-5370.5414056973386</v>
      </c>
      <c r="AB56">
        <v>532</v>
      </c>
      <c r="AC56">
        <v>66904.122730000003</v>
      </c>
      <c r="AD56">
        <f t="shared" si="4"/>
        <v>71896.737752909525</v>
      </c>
      <c r="AE56">
        <f t="shared" si="5"/>
        <v>-4992.6150229095219</v>
      </c>
    </row>
    <row r="57" spans="1:31" x14ac:dyDescent="0.2">
      <c r="A57">
        <v>674</v>
      </c>
      <c r="B57">
        <v>103411.09776999999</v>
      </c>
      <c r="C57">
        <f t="shared" si="1"/>
        <v>101637.42752500001</v>
      </c>
      <c r="G57">
        <v>534</v>
      </c>
      <c r="H57">
        <v>80134.037960000001</v>
      </c>
      <c r="I57">
        <v>0.66990395420073134</v>
      </c>
      <c r="J57">
        <f t="shared" si="0"/>
        <v>78689.311515000009</v>
      </c>
      <c r="V57">
        <v>533</v>
      </c>
      <c r="W57">
        <v>66564.5481</v>
      </c>
      <c r="X57">
        <f t="shared" si="2"/>
        <v>71775.075293661212</v>
      </c>
      <c r="Y57">
        <f t="shared" si="3"/>
        <v>-5210.5271936612116</v>
      </c>
      <c r="AB57">
        <v>533</v>
      </c>
      <c r="AC57">
        <v>64602.962879999999</v>
      </c>
      <c r="AD57">
        <f t="shared" si="4"/>
        <v>69437.233759585186</v>
      </c>
      <c r="AE57">
        <f t="shared" si="5"/>
        <v>-4834.2708795851868</v>
      </c>
    </row>
    <row r="58" spans="1:31" x14ac:dyDescent="0.2">
      <c r="A58">
        <v>675</v>
      </c>
      <c r="B58">
        <v>99863.757280000005</v>
      </c>
      <c r="C58">
        <f t="shared" si="1"/>
        <v>96817.010349999997</v>
      </c>
      <c r="G58">
        <v>535</v>
      </c>
      <c r="H58">
        <v>77244.585070000001</v>
      </c>
      <c r="I58">
        <v>0.64598374299549377</v>
      </c>
      <c r="J58">
        <f t="shared" si="0"/>
        <v>76342.171789999993</v>
      </c>
      <c r="V58">
        <v>534</v>
      </c>
      <c r="W58">
        <v>64146.556409999997</v>
      </c>
      <c r="X58">
        <f t="shared" si="2"/>
        <v>69031.514215585092</v>
      </c>
      <c r="Y58">
        <f t="shared" si="3"/>
        <v>-4884.9578055850943</v>
      </c>
      <c r="AB58">
        <v>534</v>
      </c>
      <c r="AC58">
        <v>62050.459019999995</v>
      </c>
      <c r="AD58">
        <f t="shared" si="4"/>
        <v>66783.035333005537</v>
      </c>
      <c r="AE58">
        <f t="shared" si="5"/>
        <v>-4732.576313005542</v>
      </c>
    </row>
    <row r="59" spans="1:31" x14ac:dyDescent="0.2">
      <c r="A59">
        <v>676</v>
      </c>
      <c r="B59">
        <v>93770.263420000003</v>
      </c>
      <c r="C59">
        <f t="shared" si="1"/>
        <v>92124.999544999999</v>
      </c>
      <c r="G59">
        <v>536</v>
      </c>
      <c r="H59">
        <v>75439.75851</v>
      </c>
      <c r="I59">
        <v>0.63104256411230997</v>
      </c>
      <c r="J59">
        <f t="shared" si="0"/>
        <v>73955.983529999998</v>
      </c>
      <c r="V59">
        <v>535</v>
      </c>
      <c r="W59">
        <v>61670.049910000002</v>
      </c>
      <c r="X59">
        <f t="shared" si="2"/>
        <v>66566.611016402938</v>
      </c>
      <c r="Y59">
        <f t="shared" si="3"/>
        <v>-4896.5611064029363</v>
      </c>
      <c r="AB59">
        <v>535</v>
      </c>
      <c r="AC59">
        <v>59718.790119999998</v>
      </c>
      <c r="AD59">
        <f t="shared" si="4"/>
        <v>64398.418403854426</v>
      </c>
      <c r="AE59">
        <f t="shared" si="5"/>
        <v>-4679.6282838544284</v>
      </c>
    </row>
    <row r="60" spans="1:31" x14ac:dyDescent="0.2">
      <c r="A60">
        <v>677</v>
      </c>
      <c r="B60">
        <v>90479.735670000009</v>
      </c>
      <c r="C60">
        <f t="shared" si="1"/>
        <v>88135.80919</v>
      </c>
      <c r="G60">
        <v>537</v>
      </c>
      <c r="H60">
        <v>72472.20855000001</v>
      </c>
      <c r="I60">
        <v>0.60647582967931002</v>
      </c>
      <c r="J60">
        <f t="shared" si="0"/>
        <v>71256.744160000002</v>
      </c>
      <c r="V60">
        <v>536</v>
      </c>
      <c r="W60">
        <v>59391.545689999999</v>
      </c>
      <c r="X60">
        <f t="shared" si="2"/>
        <v>65026.969108030135</v>
      </c>
      <c r="Y60">
        <f t="shared" si="3"/>
        <v>-5635.4234180301355</v>
      </c>
      <c r="AB60">
        <v>536</v>
      </c>
      <c r="AC60">
        <v>57177.525010000005</v>
      </c>
      <c r="AD60">
        <f t="shared" si="4"/>
        <v>62908.925363821654</v>
      </c>
      <c r="AE60">
        <f t="shared" si="5"/>
        <v>-5731.4003538216493</v>
      </c>
    </row>
    <row r="61" spans="1:31" x14ac:dyDescent="0.2">
      <c r="A61">
        <v>678</v>
      </c>
      <c r="B61">
        <v>85791.882709999991</v>
      </c>
      <c r="C61">
        <f t="shared" si="1"/>
        <v>82646.248404999991</v>
      </c>
      <c r="G61">
        <v>538</v>
      </c>
      <c r="H61">
        <v>70041.279769999994</v>
      </c>
      <c r="I61">
        <v>0.58635149055485691</v>
      </c>
      <c r="J61">
        <f t="shared" si="0"/>
        <v>68849.799859999999</v>
      </c>
      <c r="V61">
        <v>537</v>
      </c>
      <c r="W61">
        <v>57431.851199999997</v>
      </c>
      <c r="X61">
        <f t="shared" si="2"/>
        <v>62495.443705608071</v>
      </c>
      <c r="Y61">
        <f t="shared" si="3"/>
        <v>-5063.5925056080741</v>
      </c>
      <c r="AB61">
        <v>537</v>
      </c>
      <c r="AC61">
        <v>55459.434009999997</v>
      </c>
      <c r="AD61">
        <f t="shared" si="4"/>
        <v>60459.85623478052</v>
      </c>
      <c r="AE61">
        <f t="shared" si="5"/>
        <v>-5000.4222247805228</v>
      </c>
    </row>
    <row r="62" spans="1:31" x14ac:dyDescent="0.2">
      <c r="A62">
        <v>679</v>
      </c>
      <c r="B62">
        <v>79500.614100000006</v>
      </c>
      <c r="C62">
        <f t="shared" si="1"/>
        <v>77845.964130000008</v>
      </c>
      <c r="G62">
        <v>539</v>
      </c>
      <c r="H62">
        <v>67658.319950000005</v>
      </c>
      <c r="I62">
        <v>0.56662426039814906</v>
      </c>
      <c r="J62">
        <f t="shared" si="0"/>
        <v>66602.892194999993</v>
      </c>
      <c r="V62">
        <v>538</v>
      </c>
      <c r="W62">
        <v>55521.666949999999</v>
      </c>
      <c r="X62">
        <f t="shared" si="2"/>
        <v>60421.69329163056</v>
      </c>
      <c r="Y62">
        <f t="shared" si="3"/>
        <v>-4900.0263416305606</v>
      </c>
      <c r="AB62">
        <v>538</v>
      </c>
      <c r="AC62">
        <v>53749.055289999997</v>
      </c>
      <c r="AD62">
        <f t="shared" si="4"/>
        <v>58453.651550699746</v>
      </c>
      <c r="AE62">
        <f t="shared" si="5"/>
        <v>-4704.5962606997491</v>
      </c>
    </row>
    <row r="63" spans="1:31" x14ac:dyDescent="0.2">
      <c r="A63">
        <v>680</v>
      </c>
      <c r="B63">
        <v>76191.314159999994</v>
      </c>
      <c r="C63">
        <f t="shared" si="1"/>
        <v>74472.908909999998</v>
      </c>
      <c r="G63">
        <v>540</v>
      </c>
      <c r="H63">
        <v>65547.464439999996</v>
      </c>
      <c r="I63">
        <v>0.54914963404321326</v>
      </c>
      <c r="J63">
        <f t="shared" si="0"/>
        <v>64322.064310000002</v>
      </c>
      <c r="V63">
        <v>539</v>
      </c>
      <c r="W63">
        <v>53198.696210000002</v>
      </c>
      <c r="X63">
        <f t="shared" si="2"/>
        <v>58388.863718887289</v>
      </c>
      <c r="Y63">
        <f t="shared" si="3"/>
        <v>-5190.1675088872871</v>
      </c>
      <c r="AB63">
        <v>539</v>
      </c>
      <c r="AC63">
        <v>51486.57116</v>
      </c>
      <c r="AD63">
        <f t="shared" si="4"/>
        <v>56487.034843459071</v>
      </c>
      <c r="AE63">
        <f t="shared" si="5"/>
        <v>-5000.463683459071</v>
      </c>
    </row>
    <row r="64" spans="1:31" x14ac:dyDescent="0.2">
      <c r="A64">
        <v>681</v>
      </c>
      <c r="B64">
        <v>72754.503660000002</v>
      </c>
      <c r="C64">
        <f t="shared" si="1"/>
        <v>70594.518000000011</v>
      </c>
      <c r="G64">
        <v>541</v>
      </c>
      <c r="H64">
        <v>63096.66418</v>
      </c>
      <c r="I64">
        <v>0.52886078972810446</v>
      </c>
      <c r="J64">
        <f t="shared" si="0"/>
        <v>62049.94801</v>
      </c>
      <c r="V64">
        <v>540</v>
      </c>
      <c r="W64">
        <v>51213.702819999999</v>
      </c>
      <c r="X64">
        <f t="shared" si="2"/>
        <v>56588.157945964907</v>
      </c>
      <c r="Y64">
        <f t="shared" si="3"/>
        <v>-5374.4551259649088</v>
      </c>
      <c r="AB64">
        <v>540</v>
      </c>
      <c r="AC64">
        <v>50208.476820000003</v>
      </c>
      <c r="AD64">
        <f t="shared" si="4"/>
        <v>54744.9812520825</v>
      </c>
      <c r="AE64">
        <f t="shared" si="5"/>
        <v>-4536.5044320824964</v>
      </c>
    </row>
    <row r="65" spans="1:31" x14ac:dyDescent="0.2">
      <c r="A65">
        <v>682</v>
      </c>
      <c r="B65">
        <v>68434.532340000005</v>
      </c>
      <c r="C65">
        <f t="shared" si="1"/>
        <v>66791.906925000003</v>
      </c>
      <c r="G65">
        <v>542</v>
      </c>
      <c r="H65">
        <v>61003.23184</v>
      </c>
      <c r="I65">
        <v>0.51153040033501951</v>
      </c>
      <c r="J65">
        <f t="shared" si="0"/>
        <v>60107.723969999999</v>
      </c>
      <c r="V65">
        <v>541</v>
      </c>
      <c r="W65">
        <v>50177.522519999999</v>
      </c>
      <c r="X65">
        <f t="shared" si="2"/>
        <v>54497.455784895777</v>
      </c>
      <c r="Y65">
        <f t="shared" si="3"/>
        <v>-4319.9332648957788</v>
      </c>
      <c r="AB65">
        <v>541</v>
      </c>
      <c r="AC65">
        <v>48246.83754</v>
      </c>
      <c r="AD65">
        <f t="shared" si="4"/>
        <v>52722.376969385943</v>
      </c>
      <c r="AE65">
        <f t="shared" si="5"/>
        <v>-4475.5394293859426</v>
      </c>
    </row>
    <row r="66" spans="1:31" x14ac:dyDescent="0.2">
      <c r="A66">
        <v>683</v>
      </c>
      <c r="B66">
        <v>65149.281510000001</v>
      </c>
      <c r="C66">
        <f t="shared" si="1"/>
        <v>63599.017105000006</v>
      </c>
      <c r="G66">
        <v>543</v>
      </c>
      <c r="H66">
        <v>59212.216099999998</v>
      </c>
      <c r="I66">
        <v>0.49670355372991531</v>
      </c>
      <c r="J66">
        <f t="shared" si="0"/>
        <v>58302.759720000002</v>
      </c>
      <c r="V66">
        <v>542</v>
      </c>
      <c r="W66">
        <v>48361.937020000005</v>
      </c>
      <c r="X66">
        <f t="shared" si="2"/>
        <v>52711.613181268011</v>
      </c>
      <c r="Y66">
        <f t="shared" si="3"/>
        <v>-4349.6761612680057</v>
      </c>
      <c r="AB66">
        <v>542</v>
      </c>
      <c r="AC66">
        <v>46778.607380000001</v>
      </c>
      <c r="AD66">
        <f t="shared" si="4"/>
        <v>50994.702427512231</v>
      </c>
      <c r="AE66">
        <f t="shared" si="5"/>
        <v>-4216.0950475122299</v>
      </c>
    </row>
    <row r="67" spans="1:31" x14ac:dyDescent="0.2">
      <c r="A67">
        <v>684</v>
      </c>
      <c r="B67">
        <v>62048.752700000005</v>
      </c>
      <c r="C67">
        <f t="shared" si="1"/>
        <v>60210.951159999997</v>
      </c>
      <c r="G67">
        <v>544</v>
      </c>
      <c r="H67">
        <v>57393.303339999999</v>
      </c>
      <c r="I67">
        <v>0.48164576284719163</v>
      </c>
      <c r="J67">
        <f t="shared" si="0"/>
        <v>56223.361989999998</v>
      </c>
      <c r="V67">
        <v>543</v>
      </c>
      <c r="W67">
        <v>46506.312959999996</v>
      </c>
      <c r="X67">
        <f t="shared" si="2"/>
        <v>51183.752857747873</v>
      </c>
      <c r="Y67">
        <f t="shared" si="3"/>
        <v>-4677.4398977478777</v>
      </c>
      <c r="AB67">
        <v>543</v>
      </c>
      <c r="AC67">
        <v>45107.628359999995</v>
      </c>
      <c r="AD67">
        <f t="shared" si="4"/>
        <v>49516.607225212487</v>
      </c>
      <c r="AE67">
        <f t="shared" si="5"/>
        <v>-4408.9788652124917</v>
      </c>
    </row>
    <row r="68" spans="1:31" x14ac:dyDescent="0.2">
      <c r="A68">
        <v>685</v>
      </c>
      <c r="B68">
        <v>58373.149619999997</v>
      </c>
      <c r="C68">
        <f t="shared" si="1"/>
        <v>57463.575675</v>
      </c>
      <c r="G68">
        <v>545</v>
      </c>
      <c r="H68">
        <v>55053.420639999997</v>
      </c>
      <c r="I68">
        <v>0.4622751447716425</v>
      </c>
      <c r="J68">
        <f t="shared" ref="J68:J131" si="6">(H69+H68)/2*(G69-G68)</f>
        <v>54484.718999999997</v>
      </c>
      <c r="V68">
        <v>544</v>
      </c>
      <c r="W68">
        <v>44942.421900000001</v>
      </c>
      <c r="X68">
        <f t="shared" si="2"/>
        <v>49632.094446332405</v>
      </c>
      <c r="Y68">
        <f t="shared" si="3"/>
        <v>-4689.6725463324037</v>
      </c>
      <c r="AB68">
        <v>544</v>
      </c>
      <c r="AC68">
        <v>43857.94571</v>
      </c>
      <c r="AD68">
        <f t="shared" si="4"/>
        <v>48015.489080958898</v>
      </c>
      <c r="AE68">
        <f t="shared" si="5"/>
        <v>-4157.5433709588979</v>
      </c>
    </row>
    <row r="69" spans="1:31" x14ac:dyDescent="0.2">
      <c r="A69">
        <v>686</v>
      </c>
      <c r="B69">
        <v>56554.001730000004</v>
      </c>
      <c r="C69">
        <f t="shared" ref="C69:C132" si="7">(B70+B69)/2*(A70-A69)</f>
        <v>54894.476930000004</v>
      </c>
      <c r="G69">
        <v>546</v>
      </c>
      <c r="H69">
        <v>53916.017359999998</v>
      </c>
      <c r="I69">
        <v>0.45285920074386848</v>
      </c>
      <c r="J69">
        <f t="shared" si="6"/>
        <v>52964.782825000002</v>
      </c>
      <c r="V69">
        <v>545</v>
      </c>
      <c r="W69">
        <v>43708.32531</v>
      </c>
      <c r="X69">
        <f t="shared" ref="X69:X132" si="8">I68*MAX(W:W)</f>
        <v>47636.01263689997</v>
      </c>
      <c r="Y69">
        <f t="shared" ref="Y69:Y132" si="9">W69-X69</f>
        <v>-3927.6873268999698</v>
      </c>
      <c r="AB69">
        <v>545</v>
      </c>
      <c r="AC69">
        <v>42783.66001</v>
      </c>
      <c r="AD69">
        <f t="shared" ref="AD69:AD132" si="10">I68*MAX(AC:AC)</f>
        <v>46084.423197186057</v>
      </c>
      <c r="AE69">
        <f t="shared" ref="AE69:AE132" si="11">AC69-AD69</f>
        <v>-3300.7631871860576</v>
      </c>
    </row>
    <row r="70" spans="1:31" x14ac:dyDescent="0.2">
      <c r="A70">
        <v>687</v>
      </c>
      <c r="B70">
        <v>53234.952130000005</v>
      </c>
      <c r="C70">
        <f t="shared" si="7"/>
        <v>51809.789740000007</v>
      </c>
      <c r="G70">
        <v>547</v>
      </c>
      <c r="H70">
        <v>52013.548289999999</v>
      </c>
      <c r="I70">
        <v>0.43710969255035304</v>
      </c>
      <c r="J70">
        <f t="shared" si="6"/>
        <v>51374.596984999996</v>
      </c>
      <c r="V70">
        <v>546</v>
      </c>
      <c r="W70">
        <v>42091.016799999998</v>
      </c>
      <c r="X70">
        <f t="shared" si="8"/>
        <v>46665.72895678354</v>
      </c>
      <c r="Y70">
        <f t="shared" si="9"/>
        <v>-4574.712156783542</v>
      </c>
      <c r="AB70">
        <v>546</v>
      </c>
      <c r="AC70">
        <v>40886.28458</v>
      </c>
      <c r="AD70">
        <f t="shared" si="10"/>
        <v>45145.743377851824</v>
      </c>
      <c r="AE70">
        <f t="shared" si="11"/>
        <v>-4259.4587978518248</v>
      </c>
    </row>
    <row r="71" spans="1:31" x14ac:dyDescent="0.2">
      <c r="A71">
        <v>688</v>
      </c>
      <c r="B71">
        <v>50384.627350000002</v>
      </c>
      <c r="C71">
        <f t="shared" si="7"/>
        <v>49032.390524999995</v>
      </c>
      <c r="G71">
        <v>548</v>
      </c>
      <c r="H71">
        <v>50735.645679999994</v>
      </c>
      <c r="I71">
        <v>0.42653063087514276</v>
      </c>
      <c r="J71">
        <f t="shared" si="6"/>
        <v>49983.461094999991</v>
      </c>
      <c r="V71">
        <v>547</v>
      </c>
      <c r="W71">
        <v>41211.210079999997</v>
      </c>
      <c r="X71">
        <f t="shared" si="8"/>
        <v>45042.791232753683</v>
      </c>
      <c r="Y71">
        <f t="shared" si="9"/>
        <v>-3831.5811527536862</v>
      </c>
      <c r="AB71">
        <v>547</v>
      </c>
      <c r="AC71">
        <v>39526.738790000003</v>
      </c>
      <c r="AD71">
        <f t="shared" si="10"/>
        <v>43575.667614647951</v>
      </c>
      <c r="AE71">
        <f t="shared" si="11"/>
        <v>-4048.9288246479482</v>
      </c>
    </row>
    <row r="72" spans="1:31" x14ac:dyDescent="0.2">
      <c r="A72">
        <v>689</v>
      </c>
      <c r="B72">
        <v>47680.153699999995</v>
      </c>
      <c r="C72">
        <f t="shared" si="7"/>
        <v>46989.952015000003</v>
      </c>
      <c r="G72">
        <v>549</v>
      </c>
      <c r="H72">
        <v>49231.276509999996</v>
      </c>
      <c r="I72">
        <v>0.41407677554440303</v>
      </c>
      <c r="J72">
        <f t="shared" si="6"/>
        <v>48467.67484</v>
      </c>
      <c r="V72">
        <v>548</v>
      </c>
      <c r="W72">
        <v>40127.901879999998</v>
      </c>
      <c r="X72">
        <f t="shared" si="8"/>
        <v>43952.651904809063</v>
      </c>
      <c r="Y72">
        <f t="shared" si="9"/>
        <v>-3824.7500248090655</v>
      </c>
      <c r="AB72">
        <v>548</v>
      </c>
      <c r="AC72">
        <v>38839.054899999996</v>
      </c>
      <c r="AD72">
        <f t="shared" si="10"/>
        <v>42521.036058563848</v>
      </c>
      <c r="AE72">
        <f t="shared" si="11"/>
        <v>-3681.9811585638527</v>
      </c>
    </row>
    <row r="73" spans="1:31" x14ac:dyDescent="0.2">
      <c r="A73">
        <v>690</v>
      </c>
      <c r="B73">
        <v>46299.750330000003</v>
      </c>
      <c r="C73">
        <f t="shared" si="7"/>
        <v>44605.671719999998</v>
      </c>
      <c r="G73">
        <v>550</v>
      </c>
      <c r="H73">
        <v>47704.073170000003</v>
      </c>
      <c r="I73">
        <v>0.40143388852154377</v>
      </c>
      <c r="J73">
        <f t="shared" si="6"/>
        <v>47005.66287</v>
      </c>
      <c r="V73">
        <v>549</v>
      </c>
      <c r="W73">
        <v>38713.945319999999</v>
      </c>
      <c r="X73">
        <f t="shared" si="8"/>
        <v>42669.320934881398</v>
      </c>
      <c r="Y73">
        <f t="shared" si="9"/>
        <v>-3955.3756148813991</v>
      </c>
      <c r="AB73">
        <v>549</v>
      </c>
      <c r="AC73">
        <v>37523.611319999996</v>
      </c>
      <c r="AD73">
        <f t="shared" si="10"/>
        <v>41279.505455005543</v>
      </c>
      <c r="AE73">
        <f t="shared" si="11"/>
        <v>-3755.8941350055466</v>
      </c>
    </row>
    <row r="74" spans="1:31" x14ac:dyDescent="0.2">
      <c r="A74">
        <v>691</v>
      </c>
      <c r="B74">
        <v>42911.593109999994</v>
      </c>
      <c r="C74">
        <f t="shared" si="7"/>
        <v>42713.018974999999</v>
      </c>
      <c r="G74">
        <v>551</v>
      </c>
      <c r="H74">
        <v>46307.252570000004</v>
      </c>
      <c r="I74">
        <v>0.38987036939186293</v>
      </c>
      <c r="J74">
        <f t="shared" si="6"/>
        <v>45520.980309999999</v>
      </c>
      <c r="V74">
        <v>550</v>
      </c>
      <c r="W74">
        <v>37859.896700000005</v>
      </c>
      <c r="X74">
        <f t="shared" si="8"/>
        <v>41366.510838341754</v>
      </c>
      <c r="Y74">
        <f t="shared" si="9"/>
        <v>-3506.6141383417489</v>
      </c>
      <c r="AB74">
        <v>550</v>
      </c>
      <c r="AC74">
        <v>36249.907899999998</v>
      </c>
      <c r="AD74">
        <f t="shared" si="10"/>
        <v>40019.130194545723</v>
      </c>
      <c r="AE74">
        <f t="shared" si="11"/>
        <v>-3769.2222945457252</v>
      </c>
    </row>
    <row r="75" spans="1:31" x14ac:dyDescent="0.2">
      <c r="A75">
        <v>692</v>
      </c>
      <c r="B75">
        <v>42514.444839999996</v>
      </c>
      <c r="C75">
        <f t="shared" si="7"/>
        <v>41588.001089999998</v>
      </c>
      <c r="G75">
        <v>552</v>
      </c>
      <c r="H75">
        <v>44734.708050000001</v>
      </c>
      <c r="I75">
        <v>0.37685212736472296</v>
      </c>
      <c r="J75">
        <f t="shared" si="6"/>
        <v>44280.473005</v>
      </c>
      <c r="V75">
        <v>551</v>
      </c>
      <c r="W75">
        <v>36502.691740000002</v>
      </c>
      <c r="X75">
        <f t="shared" si="8"/>
        <v>40174.926238523782</v>
      </c>
      <c r="Y75">
        <f t="shared" si="9"/>
        <v>-3672.2344985237796</v>
      </c>
      <c r="AB75">
        <v>551</v>
      </c>
      <c r="AC75">
        <v>35615.744380000004</v>
      </c>
      <c r="AD75">
        <f t="shared" si="10"/>
        <v>38866.357619061026</v>
      </c>
      <c r="AE75">
        <f t="shared" si="11"/>
        <v>-3250.6132390610219</v>
      </c>
    </row>
    <row r="76" spans="1:31" x14ac:dyDescent="0.2">
      <c r="A76">
        <v>693</v>
      </c>
      <c r="B76">
        <v>40661.557339999999</v>
      </c>
      <c r="C76">
        <f t="shared" si="7"/>
        <v>40194.999185000001</v>
      </c>
      <c r="G76">
        <v>553</v>
      </c>
      <c r="H76">
        <v>43826.237959999999</v>
      </c>
      <c r="I76">
        <v>0.36933139688261385</v>
      </c>
      <c r="J76">
        <f t="shared" si="6"/>
        <v>42893.907950000001</v>
      </c>
      <c r="V76">
        <v>552</v>
      </c>
      <c r="W76">
        <v>35356.076150000001</v>
      </c>
      <c r="X76">
        <f t="shared" si="8"/>
        <v>38833.436978872152</v>
      </c>
      <c r="Y76">
        <f t="shared" si="9"/>
        <v>-3477.3608288721516</v>
      </c>
      <c r="AB76">
        <v>552</v>
      </c>
      <c r="AC76">
        <v>34648.71976</v>
      </c>
      <c r="AD76">
        <f t="shared" si="10"/>
        <v>37568.563044450115</v>
      </c>
      <c r="AE76">
        <f t="shared" si="11"/>
        <v>-2919.8432844501149</v>
      </c>
    </row>
    <row r="77" spans="1:31" x14ac:dyDescent="0.2">
      <c r="A77">
        <v>694</v>
      </c>
      <c r="B77">
        <v>39728.441030000002</v>
      </c>
      <c r="C77">
        <f t="shared" si="7"/>
        <v>38097.949529999998</v>
      </c>
      <c r="G77">
        <v>554</v>
      </c>
      <c r="H77">
        <v>41961.577940000003</v>
      </c>
      <c r="I77">
        <v>0.35389488927983287</v>
      </c>
      <c r="J77">
        <f t="shared" si="6"/>
        <v>41746.331919999997</v>
      </c>
      <c r="V77">
        <v>553</v>
      </c>
      <c r="W77">
        <v>34484.245999999999</v>
      </c>
      <c r="X77">
        <f t="shared" si="8"/>
        <v>38058.449146763109</v>
      </c>
      <c r="Y77">
        <f t="shared" si="9"/>
        <v>-3574.2031467631095</v>
      </c>
      <c r="AB77">
        <v>553</v>
      </c>
      <c r="AC77">
        <v>33962.728459999998</v>
      </c>
      <c r="AD77">
        <f t="shared" si="10"/>
        <v>36818.817940891269</v>
      </c>
      <c r="AE77">
        <f t="shared" si="11"/>
        <v>-2856.0894808912708</v>
      </c>
    </row>
    <row r="78" spans="1:31" x14ac:dyDescent="0.2">
      <c r="A78">
        <v>695</v>
      </c>
      <c r="B78">
        <v>36467.458030000002</v>
      </c>
      <c r="C78">
        <f t="shared" si="7"/>
        <v>35373.212800000001</v>
      </c>
      <c r="G78">
        <v>555</v>
      </c>
      <c r="H78">
        <v>41531.085899999998</v>
      </c>
      <c r="I78">
        <v>0.35033107948227166</v>
      </c>
      <c r="J78">
        <f t="shared" si="6"/>
        <v>40707.881809999999</v>
      </c>
      <c r="V78">
        <v>554</v>
      </c>
      <c r="W78">
        <v>34184.31007</v>
      </c>
      <c r="X78">
        <f t="shared" si="8"/>
        <v>36467.765157904221</v>
      </c>
      <c r="Y78">
        <f t="shared" si="9"/>
        <v>-2283.4550879042217</v>
      </c>
      <c r="AB78">
        <v>554</v>
      </c>
      <c r="AC78">
        <v>32327.41662</v>
      </c>
      <c r="AD78">
        <f t="shared" si="10"/>
        <v>35279.945351484479</v>
      </c>
      <c r="AE78">
        <f t="shared" si="11"/>
        <v>-2952.5287314844791</v>
      </c>
    </row>
    <row r="79" spans="1:31" x14ac:dyDescent="0.2">
      <c r="A79">
        <v>696</v>
      </c>
      <c r="B79">
        <v>34278.967570000001</v>
      </c>
      <c r="C79">
        <f t="shared" si="7"/>
        <v>34212.920135</v>
      </c>
      <c r="G79">
        <v>556</v>
      </c>
      <c r="H79">
        <v>39884.67772</v>
      </c>
      <c r="I79">
        <v>0.33670136032958081</v>
      </c>
      <c r="J79">
        <f t="shared" si="6"/>
        <v>39380.132024999999</v>
      </c>
      <c r="V79">
        <v>555</v>
      </c>
      <c r="W79">
        <v>32742.567230000004</v>
      </c>
      <c r="X79">
        <f t="shared" si="8"/>
        <v>36100.525667587266</v>
      </c>
      <c r="Y79">
        <f t="shared" si="9"/>
        <v>-3357.9584375872619</v>
      </c>
      <c r="AB79">
        <v>555</v>
      </c>
      <c r="AC79">
        <v>31684.676900000002</v>
      </c>
      <c r="AD79">
        <f t="shared" si="10"/>
        <v>34924.667502864213</v>
      </c>
      <c r="AE79">
        <f t="shared" si="11"/>
        <v>-3239.9906028642108</v>
      </c>
    </row>
    <row r="80" spans="1:31" x14ac:dyDescent="0.2">
      <c r="A80">
        <v>697</v>
      </c>
      <c r="B80">
        <v>34146.8727</v>
      </c>
      <c r="C80">
        <f t="shared" si="7"/>
        <v>33759.647045000005</v>
      </c>
      <c r="G80">
        <v>557</v>
      </c>
      <c r="H80">
        <v>38875.586329999998</v>
      </c>
      <c r="I80">
        <v>0.32834764075252043</v>
      </c>
      <c r="J80">
        <f t="shared" si="6"/>
        <v>38432.247974999998</v>
      </c>
      <c r="V80">
        <v>556</v>
      </c>
      <c r="W80">
        <v>31634.770130000001</v>
      </c>
      <c r="X80">
        <f t="shared" si="8"/>
        <v>34696.025596280801</v>
      </c>
      <c r="Y80">
        <f t="shared" si="9"/>
        <v>-3061.2554662807997</v>
      </c>
      <c r="AB80">
        <v>556</v>
      </c>
      <c r="AC80">
        <v>30880.570159999999</v>
      </c>
      <c r="AD80">
        <f t="shared" si="10"/>
        <v>33565.914490517687</v>
      </c>
      <c r="AE80">
        <f t="shared" si="11"/>
        <v>-2685.3443305176879</v>
      </c>
    </row>
    <row r="81" spans="1:31" x14ac:dyDescent="0.2">
      <c r="A81">
        <v>698</v>
      </c>
      <c r="B81">
        <v>33372.421390000003</v>
      </c>
      <c r="C81">
        <f t="shared" si="7"/>
        <v>32813.673125000001</v>
      </c>
      <c r="G81">
        <v>558</v>
      </c>
      <c r="H81">
        <v>37988.909619999999</v>
      </c>
      <c r="I81">
        <v>0.32100732582737723</v>
      </c>
      <c r="J81">
        <f t="shared" si="6"/>
        <v>37287.756475000002</v>
      </c>
      <c r="V81">
        <v>557</v>
      </c>
      <c r="W81">
        <v>31083.317330000002</v>
      </c>
      <c r="X81">
        <f t="shared" si="8"/>
        <v>33835.200834580617</v>
      </c>
      <c r="Y81">
        <f t="shared" si="9"/>
        <v>-2751.8835045806154</v>
      </c>
      <c r="AB81">
        <v>557</v>
      </c>
      <c r="AC81">
        <v>29772.440569999999</v>
      </c>
      <c r="AD81">
        <f t="shared" si="10"/>
        <v>32733.128318442523</v>
      </c>
      <c r="AE81">
        <f t="shared" si="11"/>
        <v>-2960.687748442524</v>
      </c>
    </row>
    <row r="82" spans="1:31" x14ac:dyDescent="0.2">
      <c r="A82">
        <v>699</v>
      </c>
      <c r="B82">
        <v>32254.924860000003</v>
      </c>
      <c r="C82">
        <f t="shared" si="7"/>
        <v>31657.568875000001</v>
      </c>
      <c r="G82">
        <v>559</v>
      </c>
      <c r="H82">
        <v>36586.603329999998</v>
      </c>
      <c r="I82">
        <v>0.30939839364948207</v>
      </c>
      <c r="J82">
        <f t="shared" si="6"/>
        <v>35806.474990000002</v>
      </c>
      <c r="V82">
        <v>558</v>
      </c>
      <c r="W82">
        <v>29869.203440000001</v>
      </c>
      <c r="X82">
        <f t="shared" si="8"/>
        <v>33078.804263214719</v>
      </c>
      <c r="Y82">
        <f t="shared" si="9"/>
        <v>-3209.6008232147178</v>
      </c>
      <c r="AB82">
        <v>558</v>
      </c>
      <c r="AC82">
        <v>29081.179350000002</v>
      </c>
      <c r="AD82">
        <f t="shared" si="10"/>
        <v>32001.368925282797</v>
      </c>
      <c r="AE82">
        <f t="shared" si="11"/>
        <v>-2920.189575282795</v>
      </c>
    </row>
    <row r="83" spans="1:31" x14ac:dyDescent="0.2">
      <c r="A83">
        <v>700</v>
      </c>
      <c r="B83">
        <v>31060.212889999999</v>
      </c>
      <c r="C83">
        <f t="shared" si="7"/>
        <v>31001.90698</v>
      </c>
      <c r="G83">
        <v>560</v>
      </c>
      <c r="H83">
        <v>35026.346649999999</v>
      </c>
      <c r="I83">
        <v>0.29648187597613707</v>
      </c>
      <c r="J83">
        <f t="shared" si="6"/>
        <v>34771.25589</v>
      </c>
      <c r="V83">
        <v>559</v>
      </c>
      <c r="W83">
        <v>29120.624459999999</v>
      </c>
      <c r="X83">
        <f t="shared" si="8"/>
        <v>31882.539990342539</v>
      </c>
      <c r="Y83">
        <f t="shared" si="9"/>
        <v>-2761.9155303425396</v>
      </c>
      <c r="AB83">
        <v>559</v>
      </c>
      <c r="AC83">
        <v>27897.01842</v>
      </c>
      <c r="AD83">
        <f t="shared" si="10"/>
        <v>30844.069101997189</v>
      </c>
      <c r="AE83">
        <f t="shared" si="11"/>
        <v>-2947.0506819971888</v>
      </c>
    </row>
    <row r="84" spans="1:31" x14ac:dyDescent="0.2">
      <c r="A84">
        <v>701</v>
      </c>
      <c r="B84">
        <v>30943.601070000001</v>
      </c>
      <c r="C84">
        <f t="shared" si="7"/>
        <v>30161.92355</v>
      </c>
      <c r="G84">
        <v>561</v>
      </c>
      <c r="H84">
        <v>34516.165130000001</v>
      </c>
      <c r="I84">
        <v>0.2922583602532664</v>
      </c>
      <c r="J84">
        <f t="shared" si="6"/>
        <v>33925.924299999999</v>
      </c>
      <c r="V84">
        <v>560</v>
      </c>
      <c r="W84">
        <v>28108.188470000001</v>
      </c>
      <c r="X84">
        <f t="shared" si="8"/>
        <v>30551.533108248219</v>
      </c>
      <c r="Y84">
        <f t="shared" si="9"/>
        <v>-2443.344638248218</v>
      </c>
      <c r="AB84">
        <v>560</v>
      </c>
      <c r="AC84">
        <v>27150.549179999998</v>
      </c>
      <c r="AD84">
        <f t="shared" si="10"/>
        <v>29556.415475310401</v>
      </c>
      <c r="AE84">
        <f t="shared" si="11"/>
        <v>-2405.8662953104031</v>
      </c>
    </row>
    <row r="85" spans="1:31" x14ac:dyDescent="0.2">
      <c r="A85">
        <v>702</v>
      </c>
      <c r="B85">
        <v>29380.246029999998</v>
      </c>
      <c r="C85">
        <f t="shared" si="7"/>
        <v>29421.682699999998</v>
      </c>
      <c r="G85">
        <v>562</v>
      </c>
      <c r="H85">
        <v>33335.683469999996</v>
      </c>
      <c r="I85">
        <v>0.28248579371347776</v>
      </c>
      <c r="J85">
        <f t="shared" si="6"/>
        <v>32547.771309999996</v>
      </c>
      <c r="V85">
        <v>561</v>
      </c>
      <c r="W85">
        <v>27079.29163</v>
      </c>
      <c r="X85">
        <f t="shared" si="8"/>
        <v>30116.31297880302</v>
      </c>
      <c r="Y85">
        <f t="shared" si="9"/>
        <v>-3037.0213488030204</v>
      </c>
      <c r="AB85">
        <v>561</v>
      </c>
      <c r="AC85">
        <v>26369.973099999999</v>
      </c>
      <c r="AD85">
        <f t="shared" si="10"/>
        <v>29135.371237578587</v>
      </c>
      <c r="AE85">
        <f t="shared" si="11"/>
        <v>-2765.3981375785879</v>
      </c>
    </row>
    <row r="86" spans="1:31" x14ac:dyDescent="0.2">
      <c r="A86">
        <v>703</v>
      </c>
      <c r="B86">
        <v>29463.11937</v>
      </c>
      <c r="C86">
        <f t="shared" si="7"/>
        <v>29087.042325000002</v>
      </c>
      <c r="G86">
        <v>563</v>
      </c>
      <c r="H86">
        <v>31759.85915</v>
      </c>
      <c r="I86">
        <v>0.26944040000340769</v>
      </c>
      <c r="J86">
        <f t="shared" si="6"/>
        <v>31473.120405000001</v>
      </c>
      <c r="V86">
        <v>562</v>
      </c>
      <c r="W86">
        <v>26217.711720000003</v>
      </c>
      <c r="X86">
        <f t="shared" si="8"/>
        <v>29109.280460508573</v>
      </c>
      <c r="Y86">
        <f t="shared" si="9"/>
        <v>-2891.56874050857</v>
      </c>
      <c r="AB86">
        <v>562</v>
      </c>
      <c r="AC86">
        <v>25181.747960000001</v>
      </c>
      <c r="AD86">
        <f t="shared" si="10"/>
        <v>28161.139554919653</v>
      </c>
      <c r="AE86">
        <f t="shared" si="11"/>
        <v>-2979.3915949196526</v>
      </c>
    </row>
    <row r="87" spans="1:31" x14ac:dyDescent="0.2">
      <c r="A87">
        <v>704</v>
      </c>
      <c r="B87">
        <v>28710.96528</v>
      </c>
      <c r="C87">
        <f t="shared" si="7"/>
        <v>28302.684865000003</v>
      </c>
      <c r="G87">
        <v>564</v>
      </c>
      <c r="H87">
        <v>31186.381659999999</v>
      </c>
      <c r="I87">
        <v>0.26469289132114998</v>
      </c>
      <c r="J87">
        <f t="shared" si="6"/>
        <v>30618.188620000001</v>
      </c>
      <c r="V87">
        <v>563</v>
      </c>
      <c r="W87">
        <v>25812.50488</v>
      </c>
      <c r="X87">
        <f t="shared" si="8"/>
        <v>27764.993304569849</v>
      </c>
      <c r="Y87">
        <f t="shared" si="9"/>
        <v>-1952.4884245698486</v>
      </c>
      <c r="AB87">
        <v>563</v>
      </c>
      <c r="AC87">
        <v>24630.08222</v>
      </c>
      <c r="AD87">
        <f t="shared" si="10"/>
        <v>26860.638216467294</v>
      </c>
      <c r="AE87">
        <f t="shared" si="11"/>
        <v>-2230.5559964672939</v>
      </c>
    </row>
    <row r="88" spans="1:31" x14ac:dyDescent="0.2">
      <c r="A88">
        <v>705</v>
      </c>
      <c r="B88">
        <v>27894.404450000002</v>
      </c>
      <c r="C88">
        <f t="shared" si="7"/>
        <v>27531.441214999999</v>
      </c>
      <c r="G88">
        <v>565</v>
      </c>
      <c r="H88">
        <v>30049.995580000003</v>
      </c>
      <c r="I88">
        <v>0.25528536813973141</v>
      </c>
      <c r="J88">
        <f t="shared" si="6"/>
        <v>29669.792765000002</v>
      </c>
      <c r="V88">
        <v>564</v>
      </c>
      <c r="W88">
        <v>24616.325989999998</v>
      </c>
      <c r="X88">
        <f t="shared" si="8"/>
        <v>27275.777334082108</v>
      </c>
      <c r="Y88">
        <f t="shared" si="9"/>
        <v>-2659.4513440821102</v>
      </c>
      <c r="AB88">
        <v>564</v>
      </c>
      <c r="AC88">
        <v>23920.297009999998</v>
      </c>
      <c r="AD88">
        <f t="shared" si="10"/>
        <v>26387.356878026407</v>
      </c>
      <c r="AE88">
        <f t="shared" si="11"/>
        <v>-2467.0598680264084</v>
      </c>
    </row>
    <row r="89" spans="1:31" x14ac:dyDescent="0.2">
      <c r="A89">
        <v>706</v>
      </c>
      <c r="B89">
        <v>27168.47798</v>
      </c>
      <c r="C89">
        <f t="shared" si="7"/>
        <v>26464.666785000001</v>
      </c>
      <c r="G89">
        <v>566</v>
      </c>
      <c r="H89">
        <v>29289.589950000001</v>
      </c>
      <c r="I89">
        <v>0.24899038290768225</v>
      </c>
      <c r="J89">
        <f t="shared" si="6"/>
        <v>28974.581170000001</v>
      </c>
      <c r="V89">
        <v>565</v>
      </c>
      <c r="W89">
        <v>23986.032510000001</v>
      </c>
      <c r="X89">
        <f t="shared" si="8"/>
        <v>26306.361395932636</v>
      </c>
      <c r="Y89">
        <f t="shared" si="9"/>
        <v>-2320.3288859326349</v>
      </c>
      <c r="AB89">
        <v>565</v>
      </c>
      <c r="AC89">
        <v>22669.107</v>
      </c>
      <c r="AD89">
        <f t="shared" si="10"/>
        <v>25449.516536763855</v>
      </c>
      <c r="AE89">
        <f t="shared" si="11"/>
        <v>-2780.4095367638547</v>
      </c>
    </row>
    <row r="90" spans="1:31" x14ac:dyDescent="0.2">
      <c r="A90">
        <v>707</v>
      </c>
      <c r="B90">
        <v>25760.855589999999</v>
      </c>
      <c r="C90">
        <f t="shared" si="7"/>
        <v>25943.914629999999</v>
      </c>
      <c r="G90">
        <v>567</v>
      </c>
      <c r="H90">
        <v>28659.572390000001</v>
      </c>
      <c r="I90">
        <v>0.24377480969298676</v>
      </c>
      <c r="J90">
        <f t="shared" si="6"/>
        <v>27965.454904999999</v>
      </c>
      <c r="V90">
        <v>566</v>
      </c>
      <c r="W90">
        <v>22821.36246</v>
      </c>
      <c r="X90">
        <f t="shared" si="8"/>
        <v>25657.682790875631</v>
      </c>
      <c r="Y90">
        <f t="shared" si="9"/>
        <v>-2836.320330875631</v>
      </c>
      <c r="AB90">
        <v>566</v>
      </c>
      <c r="AC90">
        <v>22154.8907</v>
      </c>
      <c r="AD90">
        <f t="shared" si="10"/>
        <v>24821.966544654511</v>
      </c>
      <c r="AE90">
        <f t="shared" si="11"/>
        <v>-2667.0758446545115</v>
      </c>
    </row>
    <row r="91" spans="1:31" x14ac:dyDescent="0.2">
      <c r="A91">
        <v>708</v>
      </c>
      <c r="B91">
        <v>26126.973669999999</v>
      </c>
      <c r="C91">
        <f t="shared" si="7"/>
        <v>25931.546885</v>
      </c>
      <c r="G91">
        <v>568</v>
      </c>
      <c r="H91">
        <v>27271.33742</v>
      </c>
      <c r="I91">
        <v>0.23228236633119287</v>
      </c>
      <c r="J91">
        <f t="shared" si="6"/>
        <v>26624.009565</v>
      </c>
      <c r="V91">
        <v>567</v>
      </c>
      <c r="W91">
        <v>21861.866279999998</v>
      </c>
      <c r="X91">
        <f t="shared" si="8"/>
        <v>25120.234229399022</v>
      </c>
      <c r="Y91">
        <f t="shared" si="9"/>
        <v>-3258.3679493990239</v>
      </c>
      <c r="AB91">
        <v>567</v>
      </c>
      <c r="AC91">
        <v>21298.720229999999</v>
      </c>
      <c r="AD91">
        <f t="shared" si="10"/>
        <v>24302.023636279744</v>
      </c>
      <c r="AE91">
        <f t="shared" si="11"/>
        <v>-3003.3034062797451</v>
      </c>
    </row>
    <row r="92" spans="1:31" x14ac:dyDescent="0.2">
      <c r="A92">
        <v>709</v>
      </c>
      <c r="B92">
        <v>25736.1201</v>
      </c>
      <c r="C92">
        <f t="shared" si="7"/>
        <v>25122.065069999997</v>
      </c>
      <c r="G92">
        <v>569</v>
      </c>
      <c r="H92">
        <v>25976.681710000001</v>
      </c>
      <c r="I92">
        <v>0.22156461483974468</v>
      </c>
      <c r="J92">
        <f t="shared" si="6"/>
        <v>25424.403924999999</v>
      </c>
      <c r="V92">
        <v>568</v>
      </c>
      <c r="W92">
        <v>21224.798129999999</v>
      </c>
      <c r="X92">
        <f t="shared" si="8"/>
        <v>23935.973765900155</v>
      </c>
      <c r="Y92">
        <f t="shared" si="9"/>
        <v>-2711.1756359001556</v>
      </c>
      <c r="AB92">
        <v>568</v>
      </c>
      <c r="AC92">
        <v>20663.49999</v>
      </c>
      <c r="AD92">
        <f t="shared" si="10"/>
        <v>23156.336637000932</v>
      </c>
      <c r="AE92">
        <f t="shared" si="11"/>
        <v>-2492.8366470009314</v>
      </c>
    </row>
    <row r="93" spans="1:31" x14ac:dyDescent="0.2">
      <c r="A93">
        <v>710</v>
      </c>
      <c r="B93">
        <v>24508.010039999997</v>
      </c>
      <c r="C93">
        <f t="shared" si="7"/>
        <v>25105.312044999999</v>
      </c>
      <c r="G93">
        <v>570</v>
      </c>
      <c r="H93">
        <v>24872.12614</v>
      </c>
      <c r="I93">
        <v>0.21242059916336464</v>
      </c>
      <c r="J93">
        <f t="shared" si="6"/>
        <v>24514.335180000002</v>
      </c>
      <c r="V93">
        <v>569</v>
      </c>
      <c r="W93">
        <v>20356.909309999999</v>
      </c>
      <c r="X93">
        <f t="shared" si="8"/>
        <v>22831.542884724433</v>
      </c>
      <c r="Y93">
        <f t="shared" si="9"/>
        <v>-2474.6335747244339</v>
      </c>
      <c r="AB93">
        <v>569</v>
      </c>
      <c r="AC93">
        <v>19644.885320000001</v>
      </c>
      <c r="AD93">
        <f t="shared" si="10"/>
        <v>22087.87902892823</v>
      </c>
      <c r="AE93">
        <f t="shared" si="11"/>
        <v>-2442.9937089282284</v>
      </c>
    </row>
    <row r="94" spans="1:31" x14ac:dyDescent="0.2">
      <c r="A94">
        <v>711</v>
      </c>
      <c r="B94">
        <v>25702.61405</v>
      </c>
      <c r="C94">
        <f t="shared" si="7"/>
        <v>25094.977040000002</v>
      </c>
      <c r="G94">
        <v>571</v>
      </c>
      <c r="H94">
        <v>24156.54422</v>
      </c>
      <c r="I94">
        <v>0.20649668508250577</v>
      </c>
      <c r="J94">
        <f t="shared" si="6"/>
        <v>23865.905014999997</v>
      </c>
      <c r="V94">
        <v>570</v>
      </c>
      <c r="W94">
        <v>19567.063289999998</v>
      </c>
      <c r="X94">
        <f t="shared" si="8"/>
        <v>21889.280573547778</v>
      </c>
      <c r="Y94">
        <f t="shared" si="9"/>
        <v>-2322.2172835477795</v>
      </c>
      <c r="AB94">
        <v>570</v>
      </c>
      <c r="AC94">
        <v>18781.472829999999</v>
      </c>
      <c r="AD94">
        <f t="shared" si="10"/>
        <v>21176.307872836409</v>
      </c>
      <c r="AE94">
        <f t="shared" si="11"/>
        <v>-2394.8350428364101</v>
      </c>
    </row>
    <row r="95" spans="1:31" x14ac:dyDescent="0.2">
      <c r="A95">
        <v>712</v>
      </c>
      <c r="B95">
        <v>24487.340030000003</v>
      </c>
      <c r="C95">
        <f t="shared" si="7"/>
        <v>24400.286495</v>
      </c>
      <c r="G95">
        <v>572</v>
      </c>
      <c r="H95">
        <v>23575.265809999997</v>
      </c>
      <c r="I95">
        <v>0.20168459682027257</v>
      </c>
      <c r="J95">
        <f t="shared" si="6"/>
        <v>22968.07963</v>
      </c>
      <c r="V95">
        <v>571</v>
      </c>
      <c r="W95">
        <v>18686.202099999999</v>
      </c>
      <c r="X95">
        <f t="shared" si="8"/>
        <v>21278.839693895679</v>
      </c>
      <c r="Y95">
        <f t="shared" si="9"/>
        <v>-2592.6375938956808</v>
      </c>
      <c r="AB95">
        <v>571</v>
      </c>
      <c r="AC95">
        <v>18168.720249999998</v>
      </c>
      <c r="AD95">
        <f t="shared" si="10"/>
        <v>20585.750135580325</v>
      </c>
      <c r="AE95">
        <f t="shared" si="11"/>
        <v>-2417.0298855803267</v>
      </c>
    </row>
    <row r="96" spans="1:31" x14ac:dyDescent="0.2">
      <c r="A96">
        <v>713</v>
      </c>
      <c r="B96">
        <v>24313.232960000001</v>
      </c>
      <c r="C96">
        <f t="shared" si="7"/>
        <v>24433.378545</v>
      </c>
      <c r="G96">
        <v>573</v>
      </c>
      <c r="H96">
        <v>22360.89345</v>
      </c>
      <c r="I96">
        <v>0.19163146758133115</v>
      </c>
      <c r="J96">
        <f t="shared" si="6"/>
        <v>21895.330405000001</v>
      </c>
      <c r="V96">
        <v>572</v>
      </c>
      <c r="W96">
        <v>18250.922889999998</v>
      </c>
      <c r="X96">
        <f t="shared" si="8"/>
        <v>20782.968999002806</v>
      </c>
      <c r="Y96">
        <f t="shared" si="9"/>
        <v>-2532.0461090028075</v>
      </c>
      <c r="AB96">
        <v>572</v>
      </c>
      <c r="AC96">
        <v>17492.276879999998</v>
      </c>
      <c r="AD96">
        <f t="shared" si="10"/>
        <v>20106.030828913914</v>
      </c>
      <c r="AE96">
        <f t="shared" si="11"/>
        <v>-2613.7539489139162</v>
      </c>
    </row>
    <row r="97" spans="1:31" x14ac:dyDescent="0.2">
      <c r="A97">
        <v>714</v>
      </c>
      <c r="B97">
        <v>24553.524129999998</v>
      </c>
      <c r="C97">
        <f t="shared" si="7"/>
        <v>24307.835510000001</v>
      </c>
      <c r="G97">
        <v>574</v>
      </c>
      <c r="H97">
        <v>21429.767359999998</v>
      </c>
      <c r="I97">
        <v>0.18392318037976788</v>
      </c>
      <c r="J97">
        <f t="shared" si="6"/>
        <v>21091.122239999997</v>
      </c>
      <c r="V97">
        <v>573</v>
      </c>
      <c r="W97">
        <v>17426.512790000001</v>
      </c>
      <c r="X97">
        <f t="shared" si="8"/>
        <v>19747.025369147541</v>
      </c>
      <c r="Y97">
        <f t="shared" si="9"/>
        <v>-2320.5125791475402</v>
      </c>
      <c r="AB97">
        <v>573</v>
      </c>
      <c r="AC97">
        <v>16626.636930000001</v>
      </c>
      <c r="AD97">
        <f t="shared" si="10"/>
        <v>19103.829720887134</v>
      </c>
      <c r="AE97">
        <f t="shared" si="11"/>
        <v>-2477.192790887133</v>
      </c>
    </row>
    <row r="98" spans="1:31" x14ac:dyDescent="0.2">
      <c r="A98">
        <v>715</v>
      </c>
      <c r="B98">
        <v>24062.146890000004</v>
      </c>
      <c r="C98">
        <f t="shared" si="7"/>
        <v>23789.759640000004</v>
      </c>
      <c r="G98">
        <v>575</v>
      </c>
      <c r="H98">
        <v>20752.47712</v>
      </c>
      <c r="I98">
        <v>0.17831626232129555</v>
      </c>
      <c r="J98">
        <f t="shared" si="6"/>
        <v>20303.090909999999</v>
      </c>
      <c r="V98">
        <v>574</v>
      </c>
      <c r="W98">
        <v>16514.123809999997</v>
      </c>
      <c r="X98">
        <f t="shared" si="8"/>
        <v>18952.710401761808</v>
      </c>
      <c r="Y98">
        <f t="shared" si="9"/>
        <v>-2438.5865917618103</v>
      </c>
      <c r="AB98">
        <v>574</v>
      </c>
      <c r="AC98">
        <v>16286.499449999999</v>
      </c>
      <c r="AD98">
        <f t="shared" si="10"/>
        <v>18335.387001134648</v>
      </c>
      <c r="AE98">
        <f t="shared" si="11"/>
        <v>-2048.8875511346487</v>
      </c>
    </row>
    <row r="99" spans="1:31" x14ac:dyDescent="0.2">
      <c r="A99">
        <v>716</v>
      </c>
      <c r="B99">
        <v>23517.37239</v>
      </c>
      <c r="C99">
        <f t="shared" si="7"/>
        <v>23739.110959999998</v>
      </c>
      <c r="G99">
        <v>576</v>
      </c>
      <c r="H99">
        <v>19853.704700000002</v>
      </c>
      <c r="I99">
        <v>0.17087581358228102</v>
      </c>
      <c r="J99">
        <f t="shared" si="6"/>
        <v>19490.152760000001</v>
      </c>
      <c r="V99">
        <v>575</v>
      </c>
      <c r="W99">
        <v>15870.403350000001</v>
      </c>
      <c r="X99">
        <f t="shared" si="8"/>
        <v>18374.934974057622</v>
      </c>
      <c r="Y99">
        <f t="shared" si="9"/>
        <v>-2504.5316240576212</v>
      </c>
      <c r="AB99">
        <v>575</v>
      </c>
      <c r="AC99">
        <v>15284.723900000001</v>
      </c>
      <c r="AD99">
        <f t="shared" si="10"/>
        <v>17776.430744106754</v>
      </c>
      <c r="AE99">
        <f t="shared" si="11"/>
        <v>-2491.7068441067531</v>
      </c>
    </row>
    <row r="100" spans="1:31" x14ac:dyDescent="0.2">
      <c r="A100">
        <v>717</v>
      </c>
      <c r="B100">
        <v>23960.84953</v>
      </c>
      <c r="C100">
        <f t="shared" si="7"/>
        <v>24290.059464999998</v>
      </c>
      <c r="G100">
        <v>577</v>
      </c>
      <c r="H100">
        <v>19126.60082</v>
      </c>
      <c r="I100">
        <v>0.16485651545219529</v>
      </c>
      <c r="J100">
        <f t="shared" si="6"/>
        <v>18631.914584999999</v>
      </c>
      <c r="V100">
        <v>576</v>
      </c>
      <c r="W100">
        <v>15523.18773</v>
      </c>
      <c r="X100">
        <f t="shared" si="8"/>
        <v>17608.21992531541</v>
      </c>
      <c r="Y100">
        <f t="shared" si="9"/>
        <v>-2085.0321953154107</v>
      </c>
      <c r="AB100">
        <v>576</v>
      </c>
      <c r="AC100">
        <v>14952.282519999999</v>
      </c>
      <c r="AD100">
        <f t="shared" si="10"/>
        <v>17034.68896468425</v>
      </c>
      <c r="AE100">
        <f t="shared" si="11"/>
        <v>-2082.4064446842513</v>
      </c>
    </row>
    <row r="101" spans="1:31" x14ac:dyDescent="0.2">
      <c r="A101">
        <v>718</v>
      </c>
      <c r="B101">
        <v>24619.269399999997</v>
      </c>
      <c r="C101">
        <f t="shared" si="7"/>
        <v>24148.407759999998</v>
      </c>
      <c r="G101">
        <v>578</v>
      </c>
      <c r="H101">
        <v>18137.228350000001</v>
      </c>
      <c r="I101">
        <v>0.1566660381044066</v>
      </c>
      <c r="J101">
        <f t="shared" si="6"/>
        <v>18103.117590000002</v>
      </c>
      <c r="V101">
        <v>577</v>
      </c>
      <c r="W101">
        <v>14842.697679999999</v>
      </c>
      <c r="X101">
        <f t="shared" si="8"/>
        <v>16987.950016727365</v>
      </c>
      <c r="Y101">
        <f t="shared" si="9"/>
        <v>-2145.2523367273661</v>
      </c>
      <c r="AB101">
        <v>577</v>
      </c>
      <c r="AC101">
        <v>14269.599459999999</v>
      </c>
      <c r="AD101">
        <f t="shared" si="10"/>
        <v>16434.622347401739</v>
      </c>
      <c r="AE101">
        <f t="shared" si="11"/>
        <v>-2165.0228874017394</v>
      </c>
    </row>
    <row r="102" spans="1:31" x14ac:dyDescent="0.2">
      <c r="A102">
        <v>719</v>
      </c>
      <c r="B102">
        <v>23677.546119999999</v>
      </c>
      <c r="C102">
        <f t="shared" si="7"/>
        <v>23798.463340000002</v>
      </c>
      <c r="G102">
        <v>579</v>
      </c>
      <c r="H102">
        <v>18069.006830000002</v>
      </c>
      <c r="I102">
        <v>0.15610126919165151</v>
      </c>
      <c r="J102">
        <f t="shared" si="6"/>
        <v>17531.086510000001</v>
      </c>
      <c r="V102">
        <v>578</v>
      </c>
      <c r="W102">
        <v>14169.900180000001</v>
      </c>
      <c r="X102">
        <f t="shared" si="8"/>
        <v>16143.946857885159</v>
      </c>
      <c r="Y102">
        <f t="shared" si="9"/>
        <v>-1974.0466778851587</v>
      </c>
      <c r="AB102">
        <v>578</v>
      </c>
      <c r="AC102">
        <v>13619.073969999999</v>
      </c>
      <c r="AD102">
        <f t="shared" si="10"/>
        <v>15618.109868737294</v>
      </c>
      <c r="AE102">
        <f t="shared" si="11"/>
        <v>-1999.0358987372947</v>
      </c>
    </row>
    <row r="103" spans="1:31" x14ac:dyDescent="0.2">
      <c r="A103">
        <v>720</v>
      </c>
      <c r="B103">
        <v>23919.380560000001</v>
      </c>
      <c r="C103">
        <f t="shared" si="7"/>
        <v>23625.871510000001</v>
      </c>
      <c r="G103">
        <v>580</v>
      </c>
      <c r="H103">
        <v>16993.16619</v>
      </c>
      <c r="I103">
        <v>0.14719496882557148</v>
      </c>
      <c r="J103">
        <f t="shared" si="6"/>
        <v>16567.754225000001</v>
      </c>
      <c r="V103">
        <v>579</v>
      </c>
      <c r="W103">
        <v>13393.92592</v>
      </c>
      <c r="X103">
        <f t="shared" si="8"/>
        <v>16085.749181957288</v>
      </c>
      <c r="Y103">
        <f t="shared" si="9"/>
        <v>-2691.8232619572882</v>
      </c>
      <c r="AB103">
        <v>579</v>
      </c>
      <c r="AC103">
        <v>13168.130800000001</v>
      </c>
      <c r="AD103">
        <f t="shared" si="10"/>
        <v>15561.807794359323</v>
      </c>
      <c r="AE103">
        <f t="shared" si="11"/>
        <v>-2393.6769943593226</v>
      </c>
    </row>
    <row r="104" spans="1:31" x14ac:dyDescent="0.2">
      <c r="A104">
        <v>721</v>
      </c>
      <c r="B104">
        <v>23332.36246</v>
      </c>
      <c r="C104">
        <f t="shared" si="7"/>
        <v>23241.829014999999</v>
      </c>
      <c r="G104">
        <v>581</v>
      </c>
      <c r="H104">
        <v>16142.342259999999</v>
      </c>
      <c r="I104">
        <v>0.14015145959428918</v>
      </c>
      <c r="J104">
        <f t="shared" si="6"/>
        <v>15822.33412</v>
      </c>
      <c r="V104">
        <v>580</v>
      </c>
      <c r="W104">
        <v>13121.81453</v>
      </c>
      <c r="X104">
        <f t="shared" si="8"/>
        <v>15167.982692486619</v>
      </c>
      <c r="Y104">
        <f t="shared" si="9"/>
        <v>-2046.1681624866196</v>
      </c>
      <c r="AB104">
        <v>580</v>
      </c>
      <c r="AC104">
        <v>12375.42137</v>
      </c>
      <c r="AD104">
        <f t="shared" si="10"/>
        <v>14673.934587603988</v>
      </c>
      <c r="AE104">
        <f t="shared" si="11"/>
        <v>-2298.5132176039879</v>
      </c>
    </row>
    <row r="105" spans="1:31" x14ac:dyDescent="0.2">
      <c r="A105">
        <v>722</v>
      </c>
      <c r="B105">
        <v>23151.295569999998</v>
      </c>
      <c r="C105">
        <f t="shared" si="7"/>
        <v>22462.444544999998</v>
      </c>
      <c r="G105">
        <v>582</v>
      </c>
      <c r="H105">
        <v>15502.32598</v>
      </c>
      <c r="I105">
        <v>0.13485311240705039</v>
      </c>
      <c r="J105">
        <f t="shared" si="6"/>
        <v>15207.137119999999</v>
      </c>
      <c r="V105">
        <v>581</v>
      </c>
      <c r="W105">
        <v>12452.502129999999</v>
      </c>
      <c r="X105">
        <f t="shared" si="8"/>
        <v>14442.171022652565</v>
      </c>
      <c r="Y105">
        <f t="shared" si="9"/>
        <v>-1989.6688926525658</v>
      </c>
      <c r="AB105">
        <v>581</v>
      </c>
      <c r="AC105">
        <v>12115.537979999999</v>
      </c>
      <c r="AD105">
        <f t="shared" si="10"/>
        <v>13971.76389147442</v>
      </c>
      <c r="AE105">
        <f t="shared" si="11"/>
        <v>-1856.2259114744211</v>
      </c>
    </row>
    <row r="106" spans="1:31" x14ac:dyDescent="0.2">
      <c r="A106">
        <v>723</v>
      </c>
      <c r="B106">
        <v>21773.593520000002</v>
      </c>
      <c r="C106">
        <f t="shared" si="7"/>
        <v>21695.554375</v>
      </c>
      <c r="G106">
        <v>583</v>
      </c>
      <c r="H106">
        <v>14911.948260000001</v>
      </c>
      <c r="I106">
        <v>0.12996569589919152</v>
      </c>
      <c r="J106">
        <f t="shared" si="6"/>
        <v>14646.63298</v>
      </c>
      <c r="V106">
        <v>582</v>
      </c>
      <c r="W106">
        <v>11982.195169999999</v>
      </c>
      <c r="X106">
        <f t="shared" si="8"/>
        <v>13896.19286133336</v>
      </c>
      <c r="Y106">
        <f t="shared" si="9"/>
        <v>-1913.9976913333612</v>
      </c>
      <c r="AB106">
        <v>582</v>
      </c>
      <c r="AC106">
        <v>11604.001099999999</v>
      </c>
      <c r="AD106">
        <f t="shared" si="10"/>
        <v>13443.569207455772</v>
      </c>
      <c r="AE106">
        <f t="shared" si="11"/>
        <v>-1839.5681074557724</v>
      </c>
    </row>
    <row r="107" spans="1:31" x14ac:dyDescent="0.2">
      <c r="A107">
        <v>724</v>
      </c>
      <c r="B107">
        <v>21617.515229999997</v>
      </c>
      <c r="C107">
        <f t="shared" si="7"/>
        <v>22067.631705</v>
      </c>
      <c r="G107">
        <v>584</v>
      </c>
      <c r="H107">
        <v>14381.3177</v>
      </c>
      <c r="I107">
        <v>0.12557289368009961</v>
      </c>
      <c r="J107">
        <f t="shared" si="6"/>
        <v>14213.502399999999</v>
      </c>
      <c r="V107">
        <v>583</v>
      </c>
      <c r="W107">
        <v>11537.44752</v>
      </c>
      <c r="X107">
        <f t="shared" si="8"/>
        <v>13392.559825546487</v>
      </c>
      <c r="Y107">
        <f t="shared" si="9"/>
        <v>-1855.1123055464868</v>
      </c>
      <c r="AB107">
        <v>583</v>
      </c>
      <c r="AC107">
        <v>11085.711240000001</v>
      </c>
      <c r="AD107">
        <f t="shared" si="10"/>
        <v>12956.340393108974</v>
      </c>
      <c r="AE107">
        <f t="shared" si="11"/>
        <v>-1870.6291531089737</v>
      </c>
    </row>
    <row r="108" spans="1:31" x14ac:dyDescent="0.2">
      <c r="A108">
        <v>725</v>
      </c>
      <c r="B108">
        <v>22517.748179999999</v>
      </c>
      <c r="C108">
        <f t="shared" si="7"/>
        <v>22714.833514999998</v>
      </c>
      <c r="G108">
        <v>585</v>
      </c>
      <c r="H108">
        <v>14045.687099999999</v>
      </c>
      <c r="I108">
        <v>0.12279439022474802</v>
      </c>
      <c r="J108">
        <f t="shared" si="6"/>
        <v>13758.122230000001</v>
      </c>
      <c r="V108">
        <v>584</v>
      </c>
      <c r="W108">
        <v>11196.424499999999</v>
      </c>
      <c r="X108">
        <f t="shared" si="8"/>
        <v>12939.895250375712</v>
      </c>
      <c r="Y108">
        <f t="shared" si="9"/>
        <v>-1743.4707503757127</v>
      </c>
      <c r="AB108">
        <v>584</v>
      </c>
      <c r="AC108">
        <v>10660.697399999999</v>
      </c>
      <c r="AD108">
        <f t="shared" si="10"/>
        <v>12518.419906195986</v>
      </c>
      <c r="AE108">
        <f t="shared" si="11"/>
        <v>-1857.7225061959871</v>
      </c>
    </row>
    <row r="109" spans="1:31" x14ac:dyDescent="0.2">
      <c r="A109">
        <v>726</v>
      </c>
      <c r="B109">
        <v>22911.918849999998</v>
      </c>
      <c r="C109">
        <f t="shared" si="7"/>
        <v>22272.487014999999</v>
      </c>
      <c r="G109">
        <v>586</v>
      </c>
      <c r="H109">
        <v>13470.557360000001</v>
      </c>
      <c r="I109">
        <v>0.1180332034620826</v>
      </c>
      <c r="J109">
        <f t="shared" si="6"/>
        <v>13147.104425000001</v>
      </c>
      <c r="V109">
        <v>585</v>
      </c>
      <c r="W109">
        <v>10503.171549999999</v>
      </c>
      <c r="X109">
        <f t="shared" si="8"/>
        <v>12653.579130619411</v>
      </c>
      <c r="Y109">
        <f t="shared" si="9"/>
        <v>-2150.4075806194123</v>
      </c>
      <c r="AB109">
        <v>585</v>
      </c>
      <c r="AC109">
        <v>10353.779570000001</v>
      </c>
      <c r="AD109">
        <f t="shared" si="10"/>
        <v>12241.429610396026</v>
      </c>
      <c r="AE109">
        <f t="shared" si="11"/>
        <v>-1887.6500403960254</v>
      </c>
    </row>
    <row r="110" spans="1:31" x14ac:dyDescent="0.2">
      <c r="A110">
        <v>727</v>
      </c>
      <c r="B110">
        <v>21633.055179999999</v>
      </c>
      <c r="C110">
        <f t="shared" si="7"/>
        <v>20987.763290000003</v>
      </c>
      <c r="G110">
        <v>587</v>
      </c>
      <c r="H110">
        <v>12823.65149</v>
      </c>
      <c r="I110">
        <v>0.11267782110099209</v>
      </c>
      <c r="J110">
        <f t="shared" si="6"/>
        <v>12536.924295000001</v>
      </c>
      <c r="V110">
        <v>586</v>
      </c>
      <c r="W110">
        <v>10076.768310000001</v>
      </c>
      <c r="X110">
        <f t="shared" si="8"/>
        <v>12162.953676583787</v>
      </c>
      <c r="Y110">
        <f t="shared" si="9"/>
        <v>-2086.1853665837862</v>
      </c>
      <c r="AB110">
        <v>586</v>
      </c>
      <c r="AC110">
        <v>9929.56358</v>
      </c>
      <c r="AD110">
        <f t="shared" si="10"/>
        <v>11766.784697786889</v>
      </c>
      <c r="AE110">
        <f t="shared" si="11"/>
        <v>-1837.2211177868885</v>
      </c>
    </row>
    <row r="111" spans="1:31" x14ac:dyDescent="0.2">
      <c r="A111">
        <v>728</v>
      </c>
      <c r="B111">
        <v>20342.471400000002</v>
      </c>
      <c r="C111">
        <f t="shared" si="7"/>
        <v>21072.793725000003</v>
      </c>
      <c r="G111">
        <v>588</v>
      </c>
      <c r="H111">
        <v>12250.197099999999</v>
      </c>
      <c r="I111">
        <v>0.10793050365108874</v>
      </c>
      <c r="J111">
        <f t="shared" si="6"/>
        <v>12108.472030000001</v>
      </c>
      <c r="V111">
        <v>587</v>
      </c>
      <c r="W111">
        <v>9826.7935099999995</v>
      </c>
      <c r="X111">
        <f t="shared" si="8"/>
        <v>11611.09821839263</v>
      </c>
      <c r="Y111">
        <f t="shared" si="9"/>
        <v>-1784.3047083926303</v>
      </c>
      <c r="AB111">
        <v>587</v>
      </c>
      <c r="AC111">
        <v>9423.5860699999994</v>
      </c>
      <c r="AD111">
        <f t="shared" si="10"/>
        <v>11232.904150881957</v>
      </c>
      <c r="AE111">
        <f t="shared" si="11"/>
        <v>-1809.3180808819579</v>
      </c>
    </row>
    <row r="112" spans="1:31" x14ac:dyDescent="0.2">
      <c r="A112">
        <v>729</v>
      </c>
      <c r="B112">
        <v>21803.116050000001</v>
      </c>
      <c r="C112">
        <f t="shared" si="7"/>
        <v>21478.613799999999</v>
      </c>
      <c r="G112">
        <v>589</v>
      </c>
      <c r="H112">
        <v>11966.74696</v>
      </c>
      <c r="I112">
        <v>0.10558397388470304</v>
      </c>
      <c r="J112">
        <f t="shared" si="6"/>
        <v>11637.384410000001</v>
      </c>
      <c r="V112">
        <v>588</v>
      </c>
      <c r="W112">
        <v>9301.8490099999999</v>
      </c>
      <c r="X112">
        <f t="shared" si="8"/>
        <v>11121.901953802882</v>
      </c>
      <c r="Y112">
        <f t="shared" si="9"/>
        <v>-1820.0529438028825</v>
      </c>
      <c r="AB112">
        <v>588</v>
      </c>
      <c r="AC112">
        <v>9161.8832500000008</v>
      </c>
      <c r="AD112">
        <f t="shared" si="10"/>
        <v>10759.641876483005</v>
      </c>
      <c r="AE112">
        <f t="shared" si="11"/>
        <v>-1597.7586264830043</v>
      </c>
    </row>
    <row r="113" spans="1:31" x14ac:dyDescent="0.2">
      <c r="A113">
        <v>730</v>
      </c>
      <c r="B113">
        <v>21154.111550000001</v>
      </c>
      <c r="C113">
        <f t="shared" si="7"/>
        <v>20702.379255</v>
      </c>
      <c r="G113">
        <v>590</v>
      </c>
      <c r="H113">
        <v>11308.021860000001</v>
      </c>
      <c r="I113">
        <v>0.10013074653750403</v>
      </c>
      <c r="J113">
        <f t="shared" si="6"/>
        <v>11300.815415000001</v>
      </c>
      <c r="V113">
        <v>589</v>
      </c>
      <c r="W113">
        <v>9027.1688300000005</v>
      </c>
      <c r="X113">
        <f t="shared" si="8"/>
        <v>10880.099376120217</v>
      </c>
      <c r="Y113">
        <f t="shared" si="9"/>
        <v>-1852.9305461202166</v>
      </c>
      <c r="AB113">
        <v>589</v>
      </c>
      <c r="AC113">
        <v>8615.5734300000004</v>
      </c>
      <c r="AD113">
        <f t="shared" si="10"/>
        <v>10525.715237722596</v>
      </c>
      <c r="AE113">
        <f t="shared" si="11"/>
        <v>-1910.1418077225953</v>
      </c>
    </row>
    <row r="114" spans="1:31" x14ac:dyDescent="0.2">
      <c r="A114">
        <v>731</v>
      </c>
      <c r="B114">
        <v>20250.646959999998</v>
      </c>
      <c r="C114">
        <f t="shared" si="7"/>
        <v>19873.528249999999</v>
      </c>
      <c r="G114">
        <v>591</v>
      </c>
      <c r="H114">
        <v>11293.608970000001</v>
      </c>
      <c r="I114">
        <v>0.10001143004888052</v>
      </c>
      <c r="J114">
        <f t="shared" si="6"/>
        <v>10979.302540000001</v>
      </c>
      <c r="V114">
        <v>590</v>
      </c>
      <c r="W114">
        <v>8560.1618600000002</v>
      </c>
      <c r="X114">
        <f t="shared" si="8"/>
        <v>10318.161297118839</v>
      </c>
      <c r="Y114">
        <f t="shared" si="9"/>
        <v>-1757.9994371188386</v>
      </c>
      <c r="AB114">
        <v>590</v>
      </c>
      <c r="AC114">
        <v>8265.503920000001</v>
      </c>
      <c r="AD114">
        <f t="shared" si="10"/>
        <v>9982.0804788541936</v>
      </c>
      <c r="AE114">
        <f t="shared" si="11"/>
        <v>-1716.5765588541926</v>
      </c>
    </row>
    <row r="115" spans="1:31" x14ac:dyDescent="0.2">
      <c r="A115">
        <v>732</v>
      </c>
      <c r="B115">
        <v>19496.409540000001</v>
      </c>
      <c r="C115">
        <f t="shared" si="7"/>
        <v>19477.267830000001</v>
      </c>
      <c r="G115">
        <v>592</v>
      </c>
      <c r="H115">
        <v>10664.99611</v>
      </c>
      <c r="I115">
        <v>9.4807485582587989E-2</v>
      </c>
      <c r="J115">
        <f t="shared" si="6"/>
        <v>10453.21054</v>
      </c>
      <c r="V115">
        <v>591</v>
      </c>
      <c r="W115">
        <v>8324.7572300000011</v>
      </c>
      <c r="X115">
        <f t="shared" si="8"/>
        <v>10305.866104906703</v>
      </c>
      <c r="Y115">
        <f t="shared" si="9"/>
        <v>-1981.1088749067021</v>
      </c>
      <c r="AB115">
        <v>591</v>
      </c>
      <c r="AC115">
        <v>8100.2854600000001</v>
      </c>
      <c r="AD115">
        <f t="shared" si="10"/>
        <v>9970.1857628645539</v>
      </c>
      <c r="AE115">
        <f t="shared" si="11"/>
        <v>-1869.9003028645539</v>
      </c>
    </row>
    <row r="116" spans="1:31" x14ac:dyDescent="0.2">
      <c r="A116">
        <v>733</v>
      </c>
      <c r="B116">
        <v>19458.126120000001</v>
      </c>
      <c r="C116">
        <f t="shared" si="7"/>
        <v>19032.437125</v>
      </c>
      <c r="G116">
        <v>593</v>
      </c>
      <c r="H116">
        <v>10241.42497</v>
      </c>
      <c r="I116">
        <v>9.1300970157363923E-2</v>
      </c>
      <c r="J116">
        <f t="shared" si="6"/>
        <v>10030.822209999998</v>
      </c>
      <c r="V116">
        <v>592</v>
      </c>
      <c r="W116">
        <v>7914.8623099999995</v>
      </c>
      <c r="X116">
        <f t="shared" si="8"/>
        <v>9769.6158497031847</v>
      </c>
      <c r="Y116">
        <f t="shared" si="9"/>
        <v>-1854.7535397031852</v>
      </c>
      <c r="AB116">
        <v>592</v>
      </c>
      <c r="AC116">
        <v>7670.2784000000001</v>
      </c>
      <c r="AD116">
        <f t="shared" si="10"/>
        <v>9451.4021298017215</v>
      </c>
      <c r="AE116">
        <f t="shared" si="11"/>
        <v>-1781.1237298017213</v>
      </c>
    </row>
    <row r="117" spans="1:31" x14ac:dyDescent="0.2">
      <c r="A117">
        <v>734</v>
      </c>
      <c r="B117">
        <v>18606.74813</v>
      </c>
      <c r="C117">
        <f t="shared" si="7"/>
        <v>17986.542265</v>
      </c>
      <c r="G117">
        <v>594</v>
      </c>
      <c r="H117">
        <v>9820.2194499999987</v>
      </c>
      <c r="I117">
        <v>8.7814038415344089E-2</v>
      </c>
      <c r="J117">
        <f t="shared" si="6"/>
        <v>9586.2504799999988</v>
      </c>
      <c r="V117">
        <v>593</v>
      </c>
      <c r="W117">
        <v>7733.7654000000002</v>
      </c>
      <c r="X117">
        <f t="shared" si="8"/>
        <v>9408.2803658541197</v>
      </c>
      <c r="Y117">
        <f t="shared" si="9"/>
        <v>-1674.5149658541195</v>
      </c>
      <c r="AB117">
        <v>593</v>
      </c>
      <c r="AC117">
        <v>7479.8415599999998</v>
      </c>
      <c r="AD117">
        <f t="shared" si="10"/>
        <v>9101.8359836847521</v>
      </c>
      <c r="AE117">
        <f t="shared" si="11"/>
        <v>-1621.9944236847523</v>
      </c>
    </row>
    <row r="118" spans="1:31" x14ac:dyDescent="0.2">
      <c r="A118">
        <v>735</v>
      </c>
      <c r="B118">
        <v>17366.3364</v>
      </c>
      <c r="C118">
        <f t="shared" si="7"/>
        <v>17111.410244999999</v>
      </c>
      <c r="G118">
        <v>595</v>
      </c>
      <c r="H118">
        <v>9352.2815100000007</v>
      </c>
      <c r="I118">
        <v>8.3940234348670498E-2</v>
      </c>
      <c r="J118">
        <f t="shared" si="6"/>
        <v>9253.0442750000002</v>
      </c>
      <c r="V118">
        <v>594</v>
      </c>
      <c r="W118">
        <v>7263.2173700000003</v>
      </c>
      <c r="X118">
        <f t="shared" si="8"/>
        <v>9048.9629195118177</v>
      </c>
      <c r="Y118">
        <f t="shared" si="9"/>
        <v>-1785.7455495118174</v>
      </c>
      <c r="AB118">
        <v>594</v>
      </c>
      <c r="AC118">
        <v>7130.4871500000008</v>
      </c>
      <c r="AD118">
        <f t="shared" si="10"/>
        <v>8754.222144012876</v>
      </c>
      <c r="AE118">
        <f t="shared" si="11"/>
        <v>-1623.7349940128752</v>
      </c>
    </row>
    <row r="119" spans="1:31" x14ac:dyDescent="0.2">
      <c r="A119">
        <v>736</v>
      </c>
      <c r="B119">
        <v>16856.484090000002</v>
      </c>
      <c r="C119">
        <f t="shared" si="7"/>
        <v>16670.061795000001</v>
      </c>
      <c r="G119">
        <v>596</v>
      </c>
      <c r="H119">
        <v>9153.8070399999997</v>
      </c>
      <c r="I119">
        <v>8.2297172003657632E-2</v>
      </c>
      <c r="J119">
        <f t="shared" si="6"/>
        <v>8879.5306449999989</v>
      </c>
      <c r="V119">
        <v>595</v>
      </c>
      <c r="W119">
        <v>7141.4302499999994</v>
      </c>
      <c r="X119">
        <f t="shared" si="8"/>
        <v>8649.7794860955692</v>
      </c>
      <c r="Y119">
        <f t="shared" si="9"/>
        <v>-1508.3492360955697</v>
      </c>
      <c r="AB119">
        <v>595</v>
      </c>
      <c r="AC119">
        <v>6922.39329</v>
      </c>
      <c r="AD119">
        <f t="shared" si="10"/>
        <v>8368.0408231898546</v>
      </c>
      <c r="AE119">
        <f t="shared" si="11"/>
        <v>-1445.6475331898546</v>
      </c>
    </row>
    <row r="120" spans="1:31" x14ac:dyDescent="0.2">
      <c r="A120">
        <v>737</v>
      </c>
      <c r="B120">
        <v>16483.639500000001</v>
      </c>
      <c r="C120">
        <f t="shared" si="7"/>
        <v>16464.497195</v>
      </c>
      <c r="G120">
        <v>597</v>
      </c>
      <c r="H120">
        <v>8605.25425</v>
      </c>
      <c r="I120">
        <v>7.775600137601596E-2</v>
      </c>
      <c r="J120">
        <f t="shared" si="6"/>
        <v>8574.5364499999996</v>
      </c>
      <c r="V120">
        <v>596</v>
      </c>
      <c r="W120">
        <v>7040.6150299999999</v>
      </c>
      <c r="X120">
        <f t="shared" si="8"/>
        <v>8480.4670332945188</v>
      </c>
      <c r="Y120">
        <f t="shared" si="9"/>
        <v>-1439.8520032945189</v>
      </c>
      <c r="AB120">
        <v>596</v>
      </c>
      <c r="AC120">
        <v>6705.9704099999999</v>
      </c>
      <c r="AD120">
        <f t="shared" si="10"/>
        <v>8204.24317734338</v>
      </c>
      <c r="AE120">
        <f t="shared" si="11"/>
        <v>-1498.2727673433801</v>
      </c>
    </row>
    <row r="121" spans="1:31" x14ac:dyDescent="0.2">
      <c r="A121">
        <v>738</v>
      </c>
      <c r="B121">
        <v>16445.354889999999</v>
      </c>
      <c r="C121">
        <f t="shared" si="7"/>
        <v>16103.354524999999</v>
      </c>
      <c r="G121">
        <v>598</v>
      </c>
      <c r="H121">
        <v>8543.8186499999993</v>
      </c>
      <c r="I121">
        <v>7.7247409409486087E-2</v>
      </c>
      <c r="J121">
        <f t="shared" si="6"/>
        <v>8239.999855</v>
      </c>
      <c r="V121">
        <v>597</v>
      </c>
      <c r="W121">
        <v>6537.4637999999995</v>
      </c>
      <c r="X121">
        <f t="shared" si="8"/>
        <v>8012.5135561255956</v>
      </c>
      <c r="Y121">
        <f t="shared" si="9"/>
        <v>-1475.0497561255961</v>
      </c>
      <c r="AB121">
        <v>597</v>
      </c>
      <c r="AC121">
        <v>6378.7886699999999</v>
      </c>
      <c r="AD121">
        <f t="shared" si="10"/>
        <v>7751.5317750934273</v>
      </c>
      <c r="AE121">
        <f t="shared" si="11"/>
        <v>-1372.7431050934274</v>
      </c>
    </row>
    <row r="122" spans="1:31" x14ac:dyDescent="0.2">
      <c r="A122">
        <v>739</v>
      </c>
      <c r="B122">
        <v>15761.354160000001</v>
      </c>
      <c r="C122">
        <f t="shared" si="7"/>
        <v>15754.578740000001</v>
      </c>
      <c r="G122">
        <v>599</v>
      </c>
      <c r="H122">
        <v>7936.1810600000008</v>
      </c>
      <c r="I122">
        <v>7.2217107811787598E-2</v>
      </c>
      <c r="J122">
        <f t="shared" si="6"/>
        <v>7831.6899750000002</v>
      </c>
      <c r="V122">
        <v>598</v>
      </c>
      <c r="W122">
        <v>6413.7183000000005</v>
      </c>
      <c r="X122">
        <f t="shared" si="8"/>
        <v>7960.1047393880854</v>
      </c>
      <c r="Y122">
        <f t="shared" si="9"/>
        <v>-1546.3864393880849</v>
      </c>
      <c r="AB122">
        <v>598</v>
      </c>
      <c r="AC122">
        <v>6411.9340000000002</v>
      </c>
      <c r="AD122">
        <f t="shared" si="10"/>
        <v>7700.8300064923278</v>
      </c>
      <c r="AE122">
        <f t="shared" si="11"/>
        <v>-1288.8960064923276</v>
      </c>
    </row>
    <row r="123" spans="1:31" x14ac:dyDescent="0.2">
      <c r="A123">
        <v>740</v>
      </c>
      <c r="B123">
        <v>15747.803320000001</v>
      </c>
      <c r="C123">
        <f t="shared" si="7"/>
        <v>15746.855295000001</v>
      </c>
      <c r="G123">
        <v>600</v>
      </c>
      <c r="H123">
        <v>7727.1988899999997</v>
      </c>
      <c r="I123">
        <v>7.0487057925240085E-2</v>
      </c>
      <c r="J123">
        <f t="shared" si="6"/>
        <v>7673.3020299999998</v>
      </c>
      <c r="V123">
        <v>599</v>
      </c>
      <c r="W123">
        <v>6422.61247</v>
      </c>
      <c r="X123">
        <f t="shared" si="8"/>
        <v>7441.7478405032143</v>
      </c>
      <c r="Y123">
        <f t="shared" si="9"/>
        <v>-1019.1353705032143</v>
      </c>
      <c r="AB123">
        <v>599</v>
      </c>
      <c r="AC123">
        <v>6078.7814100000005</v>
      </c>
      <c r="AD123">
        <f t="shared" si="10"/>
        <v>7199.3569113893373</v>
      </c>
      <c r="AE123">
        <f t="shared" si="11"/>
        <v>-1120.5755013893368</v>
      </c>
    </row>
    <row r="124" spans="1:31" x14ac:dyDescent="0.2">
      <c r="A124">
        <v>741</v>
      </c>
      <c r="B124">
        <v>15745.90727</v>
      </c>
      <c r="C124">
        <f t="shared" si="7"/>
        <v>14988.47983</v>
      </c>
      <c r="G124">
        <v>601</v>
      </c>
      <c r="H124">
        <v>7619.40517</v>
      </c>
      <c r="I124">
        <v>6.9594692260472935E-2</v>
      </c>
      <c r="J124">
        <f t="shared" si="6"/>
        <v>7467.0307699999994</v>
      </c>
      <c r="V124">
        <v>600</v>
      </c>
      <c r="W124">
        <v>6096.6556399999999</v>
      </c>
      <c r="X124">
        <f t="shared" si="8"/>
        <v>7263.4715927098032</v>
      </c>
      <c r="Y124">
        <f t="shared" si="9"/>
        <v>-1166.8159527098032</v>
      </c>
      <c r="AB124">
        <v>600</v>
      </c>
      <c r="AC124">
        <v>5819.6975400000001</v>
      </c>
      <c r="AD124">
        <f t="shared" si="10"/>
        <v>7026.8874372555201</v>
      </c>
      <c r="AE124">
        <f t="shared" si="11"/>
        <v>-1207.18989725552</v>
      </c>
    </row>
    <row r="125" spans="1:31" x14ac:dyDescent="0.2">
      <c r="A125">
        <v>742</v>
      </c>
      <c r="B125">
        <v>14231.052389999999</v>
      </c>
      <c r="C125">
        <f t="shared" si="7"/>
        <v>14185.237515000001</v>
      </c>
      <c r="G125">
        <v>602</v>
      </c>
      <c r="H125">
        <v>7314.6563699999997</v>
      </c>
      <c r="I125">
        <v>6.7071842455317346E-2</v>
      </c>
      <c r="J125">
        <f t="shared" si="6"/>
        <v>7297.0433350000003</v>
      </c>
      <c r="V125">
        <v>601</v>
      </c>
      <c r="W125">
        <v>5844.2334100000007</v>
      </c>
      <c r="X125">
        <f t="shared" si="8"/>
        <v>7171.5160926913404</v>
      </c>
      <c r="Y125">
        <f t="shared" si="9"/>
        <v>-1327.2826826913397</v>
      </c>
      <c r="AB125">
        <v>601</v>
      </c>
      <c r="AC125">
        <v>5668.8895700000003</v>
      </c>
      <c r="AD125">
        <f t="shared" si="10"/>
        <v>6937.9270910052746</v>
      </c>
      <c r="AE125">
        <f t="shared" si="11"/>
        <v>-1269.0375210052744</v>
      </c>
    </row>
    <row r="126" spans="1:31" x14ac:dyDescent="0.2">
      <c r="A126">
        <v>743</v>
      </c>
      <c r="B126">
        <v>14139.422640000001</v>
      </c>
      <c r="C126">
        <f t="shared" si="7"/>
        <v>13487.016915</v>
      </c>
      <c r="G126">
        <v>603</v>
      </c>
      <c r="H126">
        <v>7279.4303</v>
      </c>
      <c r="I126">
        <v>6.678022495317823E-2</v>
      </c>
      <c r="J126">
        <f t="shared" si="6"/>
        <v>7057.5783950000005</v>
      </c>
      <c r="V126">
        <v>602</v>
      </c>
      <c r="W126">
        <v>5496.0679099999998</v>
      </c>
      <c r="X126">
        <f t="shared" si="8"/>
        <v>6911.5442846488404</v>
      </c>
      <c r="Y126">
        <f t="shared" si="9"/>
        <v>-1415.4763746488406</v>
      </c>
      <c r="AB126">
        <v>602</v>
      </c>
      <c r="AC126">
        <v>5330.3381299999992</v>
      </c>
      <c r="AD126">
        <f t="shared" si="10"/>
        <v>6686.4230259507685</v>
      </c>
      <c r="AE126">
        <f t="shared" si="11"/>
        <v>-1356.0848959507694</v>
      </c>
    </row>
    <row r="127" spans="1:31" x14ac:dyDescent="0.2">
      <c r="A127">
        <v>744</v>
      </c>
      <c r="B127">
        <v>12834.61119</v>
      </c>
      <c r="C127">
        <f t="shared" si="7"/>
        <v>12717.819230000001</v>
      </c>
      <c r="G127">
        <v>604</v>
      </c>
      <c r="H127">
        <v>6835.72649</v>
      </c>
      <c r="I127">
        <v>6.3107042087141393E-2</v>
      </c>
      <c r="J127">
        <f t="shared" si="6"/>
        <v>6664.2556549999999</v>
      </c>
      <c r="V127">
        <v>603</v>
      </c>
      <c r="W127">
        <v>5608.8505600000008</v>
      </c>
      <c r="X127">
        <f t="shared" si="8"/>
        <v>6881.4940101009788</v>
      </c>
      <c r="Y127">
        <f t="shared" si="9"/>
        <v>-1272.643450100978</v>
      </c>
      <c r="AB127">
        <v>603</v>
      </c>
      <c r="AC127">
        <v>5402.6124900000004</v>
      </c>
      <c r="AD127">
        <f t="shared" si="10"/>
        <v>6657.3515421552811</v>
      </c>
      <c r="AE127">
        <f t="shared" si="11"/>
        <v>-1254.7390521552807</v>
      </c>
    </row>
    <row r="128" spans="1:31" x14ac:dyDescent="0.2">
      <c r="A128">
        <v>745</v>
      </c>
      <c r="B128">
        <v>12601.02727</v>
      </c>
      <c r="C128">
        <f t="shared" si="7"/>
        <v>11812.797904999999</v>
      </c>
      <c r="G128">
        <v>605</v>
      </c>
      <c r="H128">
        <v>6492.7848199999999</v>
      </c>
      <c r="I128">
        <v>6.026801425392523E-2</v>
      </c>
      <c r="J128">
        <f t="shared" si="6"/>
        <v>6373.9055950000002</v>
      </c>
      <c r="V128">
        <v>604</v>
      </c>
      <c r="W128">
        <v>5189.375</v>
      </c>
      <c r="X128">
        <f t="shared" si="8"/>
        <v>6502.9839660219041</v>
      </c>
      <c r="Y128">
        <f t="shared" si="9"/>
        <v>-1313.6089660219041</v>
      </c>
      <c r="AB128">
        <v>604</v>
      </c>
      <c r="AC128">
        <v>4934.92112</v>
      </c>
      <c r="AD128">
        <f t="shared" si="10"/>
        <v>6291.1702417033293</v>
      </c>
      <c r="AE128">
        <f t="shared" si="11"/>
        <v>-1356.2491217033294</v>
      </c>
    </row>
    <row r="129" spans="1:31" x14ac:dyDescent="0.2">
      <c r="A129">
        <v>746</v>
      </c>
      <c r="B129">
        <v>11024.56854</v>
      </c>
      <c r="C129">
        <f t="shared" si="7"/>
        <v>12063.334965</v>
      </c>
      <c r="G129">
        <v>606</v>
      </c>
      <c r="H129">
        <v>6255.0263700000005</v>
      </c>
      <c r="I129">
        <v>5.8299741173747095E-2</v>
      </c>
      <c r="J129">
        <f t="shared" si="6"/>
        <v>6206.4223350000002</v>
      </c>
      <c r="V129">
        <v>605</v>
      </c>
      <c r="W129">
        <v>5191.2709599999998</v>
      </c>
      <c r="X129">
        <f t="shared" si="8"/>
        <v>6210.4309977968815</v>
      </c>
      <c r="Y129">
        <f t="shared" si="9"/>
        <v>-1019.1600377968816</v>
      </c>
      <c r="AB129">
        <v>605</v>
      </c>
      <c r="AC129">
        <v>4786.3624099999997</v>
      </c>
      <c r="AD129">
        <f t="shared" si="10"/>
        <v>6008.1462426536846</v>
      </c>
      <c r="AE129">
        <f t="shared" si="11"/>
        <v>-1221.7838326536848</v>
      </c>
    </row>
    <row r="130" spans="1:31" x14ac:dyDescent="0.2">
      <c r="A130">
        <v>747</v>
      </c>
      <c r="B130">
        <v>13102.10139</v>
      </c>
      <c r="C130">
        <f t="shared" si="7"/>
        <v>11618.038515</v>
      </c>
      <c r="G130">
        <v>607</v>
      </c>
      <c r="H130">
        <v>6157.8182999999999</v>
      </c>
      <c r="I130">
        <v>5.7495008356229685E-2</v>
      </c>
      <c r="J130">
        <f t="shared" si="6"/>
        <v>6063.9178750000001</v>
      </c>
      <c r="V130">
        <v>606</v>
      </c>
      <c r="W130">
        <v>4885.1176000000005</v>
      </c>
      <c r="X130">
        <f t="shared" si="8"/>
        <v>6007.6065925034673</v>
      </c>
      <c r="Y130">
        <f t="shared" si="9"/>
        <v>-1122.4889925034668</v>
      </c>
      <c r="AB130">
        <v>606</v>
      </c>
      <c r="AC130">
        <v>4932.7407800000001</v>
      </c>
      <c r="AD130">
        <f t="shared" si="10"/>
        <v>5811.9281880590215</v>
      </c>
      <c r="AE130">
        <f t="shared" si="11"/>
        <v>-879.18740805902144</v>
      </c>
    </row>
    <row r="131" spans="1:31" x14ac:dyDescent="0.2">
      <c r="A131">
        <v>748</v>
      </c>
      <c r="B131">
        <v>10133.975640000001</v>
      </c>
      <c r="C131">
        <f t="shared" si="7"/>
        <v>10771.063624999999</v>
      </c>
      <c r="G131">
        <v>608</v>
      </c>
      <c r="H131">
        <v>5970.0174500000003</v>
      </c>
      <c r="I131">
        <v>5.5940307114319791E-2</v>
      </c>
      <c r="J131">
        <f t="shared" si="6"/>
        <v>5810.8919800000003</v>
      </c>
      <c r="V131">
        <v>607</v>
      </c>
      <c r="W131">
        <v>4694.1616999999997</v>
      </c>
      <c r="X131">
        <f t="shared" si="8"/>
        <v>5924.6813842197207</v>
      </c>
      <c r="Y131">
        <f t="shared" si="9"/>
        <v>-1230.5196842197211</v>
      </c>
      <c r="AB131">
        <v>607</v>
      </c>
      <c r="AC131">
        <v>4568.3179899999996</v>
      </c>
      <c r="AD131">
        <f t="shared" si="10"/>
        <v>5731.7040009216053</v>
      </c>
      <c r="AE131">
        <f t="shared" si="11"/>
        <v>-1163.3860109216057</v>
      </c>
    </row>
    <row r="132" spans="1:31" x14ac:dyDescent="0.2">
      <c r="A132">
        <v>749</v>
      </c>
      <c r="B132">
        <v>11408.151609999999</v>
      </c>
      <c r="C132">
        <f t="shared" si="7"/>
        <v>10859.124540000001</v>
      </c>
      <c r="G132">
        <v>609</v>
      </c>
      <c r="H132">
        <v>5651.7665099999995</v>
      </c>
      <c r="I132">
        <v>5.3305680425159471E-2</v>
      </c>
      <c r="J132">
        <f t="shared" ref="J132:J195" si="12">(H133+H132)/2*(G133-G132)</f>
        <v>5582.1960149999995</v>
      </c>
      <c r="V132">
        <v>608</v>
      </c>
      <c r="W132">
        <v>4612.2479700000004</v>
      </c>
      <c r="X132">
        <f t="shared" si="8"/>
        <v>5764.4742676488995</v>
      </c>
      <c r="Y132">
        <f t="shared" si="9"/>
        <v>-1152.2262976488992</v>
      </c>
      <c r="AB132">
        <v>608</v>
      </c>
      <c r="AC132">
        <v>4403.2797500000006</v>
      </c>
      <c r="AD132">
        <f t="shared" si="10"/>
        <v>5576.715114351121</v>
      </c>
      <c r="AE132">
        <f t="shared" si="11"/>
        <v>-1173.4353643511204</v>
      </c>
    </row>
    <row r="133" spans="1:31" x14ac:dyDescent="0.2">
      <c r="A133">
        <v>750</v>
      </c>
      <c r="B133">
        <v>10310.097470000001</v>
      </c>
      <c r="C133">
        <f t="shared" ref="C133:C183" si="13">(B134+B133)/2*(A134-A133)</f>
        <v>9790.971590000001</v>
      </c>
      <c r="G133">
        <v>610</v>
      </c>
      <c r="H133">
        <v>5512.6255199999996</v>
      </c>
      <c r="I133">
        <v>5.2153807736864545E-2</v>
      </c>
      <c r="J133">
        <f t="shared" si="12"/>
        <v>5391.0415250000005</v>
      </c>
      <c r="V133">
        <v>609</v>
      </c>
      <c r="W133">
        <v>4358.6145099999994</v>
      </c>
      <c r="X133">
        <f t="shared" ref="X133:X196" si="14">I132*MAX(W:W)</f>
        <v>5492.9842001473216</v>
      </c>
      <c r="Y133">
        <f t="shared" ref="Y133:Y196" si="15">W133-X133</f>
        <v>-1134.3696901473222</v>
      </c>
      <c r="AB133">
        <v>609</v>
      </c>
      <c r="AC133">
        <v>4199.0961699999998</v>
      </c>
      <c r="AD133">
        <f t="shared" ref="AD133:AD196" si="16">I132*MAX(AC:AC)</f>
        <v>5314.0679599819568</v>
      </c>
      <c r="AE133">
        <f t="shared" ref="AE133:AE196" si="17">AC133-AD133</f>
        <v>-1114.971789981957</v>
      </c>
    </row>
    <row r="134" spans="1:31" x14ac:dyDescent="0.2">
      <c r="A134">
        <v>751</v>
      </c>
      <c r="B134">
        <v>9271.8457099999996</v>
      </c>
      <c r="C134">
        <f t="shared" si="13"/>
        <v>9682.5036749999999</v>
      </c>
      <c r="G134">
        <v>611</v>
      </c>
      <c r="H134">
        <v>5269.4575300000006</v>
      </c>
      <c r="I134">
        <v>5.0140752012964827E-2</v>
      </c>
      <c r="J134">
        <f t="shared" si="12"/>
        <v>5264.6551250000002</v>
      </c>
      <c r="V134">
        <v>610</v>
      </c>
      <c r="W134">
        <v>4340.4026899999999</v>
      </c>
      <c r="X134">
        <f t="shared" si="14"/>
        <v>5374.2873103051852</v>
      </c>
      <c r="Y134">
        <f t="shared" si="15"/>
        <v>-1033.8846203051853</v>
      </c>
      <c r="AB134">
        <v>610</v>
      </c>
      <c r="AC134">
        <v>4096.6556999999993</v>
      </c>
      <c r="AD134">
        <f t="shared" si="16"/>
        <v>5199.2372384148557</v>
      </c>
      <c r="AE134">
        <f t="shared" si="17"/>
        <v>-1102.5815384148564</v>
      </c>
    </row>
    <row r="135" spans="1:31" x14ac:dyDescent="0.2">
      <c r="A135">
        <v>752</v>
      </c>
      <c r="B135">
        <v>10093.16164</v>
      </c>
      <c r="C135">
        <f t="shared" si="13"/>
        <v>9447.8940550000007</v>
      </c>
      <c r="G135">
        <v>612</v>
      </c>
      <c r="H135">
        <v>5259.8527199999999</v>
      </c>
      <c r="I135">
        <v>5.0061239007377738E-2</v>
      </c>
      <c r="J135">
        <f t="shared" si="12"/>
        <v>5110.6682149999997</v>
      </c>
      <c r="V135">
        <v>611</v>
      </c>
      <c r="W135">
        <v>4181.7235500000006</v>
      </c>
      <c r="X135">
        <f t="shared" si="14"/>
        <v>5166.8481931754059</v>
      </c>
      <c r="Y135">
        <f t="shared" si="15"/>
        <v>-985.12464317540525</v>
      </c>
      <c r="AB135">
        <v>611</v>
      </c>
      <c r="AC135">
        <v>3874.4063699999997</v>
      </c>
      <c r="AD135">
        <f t="shared" si="16"/>
        <v>4998.5547813350149</v>
      </c>
      <c r="AE135">
        <f t="shared" si="17"/>
        <v>-1124.1484113350152</v>
      </c>
    </row>
    <row r="136" spans="1:31" x14ac:dyDescent="0.2">
      <c r="A136">
        <v>753</v>
      </c>
      <c r="B136">
        <v>8802.6264699999992</v>
      </c>
      <c r="C136">
        <f t="shared" si="13"/>
        <v>8971.9342900000011</v>
      </c>
      <c r="G136">
        <v>613</v>
      </c>
      <c r="H136">
        <v>4961.4837099999995</v>
      </c>
      <c r="I136">
        <v>4.7591204018747883E-2</v>
      </c>
      <c r="J136">
        <f t="shared" si="12"/>
        <v>4889.4374250000001</v>
      </c>
      <c r="V136">
        <v>612</v>
      </c>
      <c r="W136">
        <v>3999.32116</v>
      </c>
      <c r="X136">
        <f t="shared" si="14"/>
        <v>5158.6546258123681</v>
      </c>
      <c r="Y136">
        <f t="shared" si="15"/>
        <v>-1159.3334658123681</v>
      </c>
      <c r="AB136">
        <v>612</v>
      </c>
      <c r="AC136">
        <v>3960.9977400000002</v>
      </c>
      <c r="AD136">
        <f t="shared" si="16"/>
        <v>4990.628092996697</v>
      </c>
      <c r="AE136">
        <f t="shared" si="17"/>
        <v>-1029.6303529966967</v>
      </c>
    </row>
    <row r="137" spans="1:31" x14ac:dyDescent="0.2">
      <c r="A137">
        <v>754</v>
      </c>
      <c r="B137">
        <v>9141.242110000001</v>
      </c>
      <c r="C137">
        <f t="shared" si="13"/>
        <v>8448.9043500000007</v>
      </c>
      <c r="G137">
        <v>614</v>
      </c>
      <c r="H137">
        <v>4817.3911399999997</v>
      </c>
      <c r="I137">
        <v>4.6398339888851836E-2</v>
      </c>
      <c r="J137">
        <f t="shared" si="12"/>
        <v>4692.2526250000001</v>
      </c>
      <c r="V137">
        <v>613</v>
      </c>
      <c r="W137">
        <v>3995.4272099999998</v>
      </c>
      <c r="X137">
        <f t="shared" si="14"/>
        <v>4904.1252199753299</v>
      </c>
      <c r="Y137">
        <f t="shared" si="15"/>
        <v>-908.69800997533002</v>
      </c>
      <c r="AB137">
        <v>613</v>
      </c>
      <c r="AC137">
        <v>3742.3434999999999</v>
      </c>
      <c r="AD137">
        <f t="shared" si="16"/>
        <v>4744.3891614527884</v>
      </c>
      <c r="AE137">
        <f t="shared" si="17"/>
        <v>-1002.0456614527884</v>
      </c>
    </row>
    <row r="138" spans="1:31" x14ac:dyDescent="0.2">
      <c r="A138">
        <v>755</v>
      </c>
      <c r="B138">
        <v>7756.5665900000004</v>
      </c>
      <c r="C138">
        <f t="shared" si="13"/>
        <v>7608.5126</v>
      </c>
      <c r="G138">
        <v>615</v>
      </c>
      <c r="H138">
        <v>4567.1141100000004</v>
      </c>
      <c r="I138">
        <v>4.4326432283734396E-2</v>
      </c>
      <c r="J138">
        <f t="shared" si="12"/>
        <v>4514.5754450000004</v>
      </c>
      <c r="V138">
        <v>614</v>
      </c>
      <c r="W138">
        <v>3541.25695</v>
      </c>
      <c r="X138">
        <f t="shared" si="14"/>
        <v>4781.2042898571799</v>
      </c>
      <c r="Y138">
        <f t="shared" si="15"/>
        <v>-1239.9473398571799</v>
      </c>
      <c r="AB138">
        <v>614</v>
      </c>
      <c r="AC138">
        <v>3600.7405100000001</v>
      </c>
      <c r="AD138">
        <f t="shared" si="16"/>
        <v>4625.4719840950738</v>
      </c>
      <c r="AE138">
        <f t="shared" si="17"/>
        <v>-1024.7314740950737</v>
      </c>
    </row>
    <row r="139" spans="1:31" x14ac:dyDescent="0.2">
      <c r="A139">
        <v>756</v>
      </c>
      <c r="B139">
        <v>7460.4586099999997</v>
      </c>
      <c r="C139">
        <f t="shared" si="13"/>
        <v>7525.6390549999996</v>
      </c>
      <c r="G139">
        <v>616</v>
      </c>
      <c r="H139">
        <v>4462.0367800000004</v>
      </c>
      <c r="I139">
        <v>4.3456554136497169E-2</v>
      </c>
      <c r="J139">
        <f t="shared" si="12"/>
        <v>4405.6852400000007</v>
      </c>
      <c r="V139">
        <v>615</v>
      </c>
      <c r="W139">
        <v>3740.1379699999998</v>
      </c>
      <c r="X139">
        <f t="shared" si="14"/>
        <v>4567.7006698245286</v>
      </c>
      <c r="Y139">
        <f t="shared" si="15"/>
        <v>-827.56269982452886</v>
      </c>
      <c r="AB139">
        <v>615</v>
      </c>
      <c r="AC139">
        <v>3544.1307499999998</v>
      </c>
      <c r="AD139">
        <f t="shared" si="16"/>
        <v>4418.9225557305717</v>
      </c>
      <c r="AE139">
        <f t="shared" si="17"/>
        <v>-874.79180573057192</v>
      </c>
    </row>
    <row r="140" spans="1:31" x14ac:dyDescent="0.2">
      <c r="A140">
        <v>757</v>
      </c>
      <c r="B140">
        <v>7590.8194999999996</v>
      </c>
      <c r="C140">
        <f t="shared" si="13"/>
        <v>7622.7902349999995</v>
      </c>
      <c r="G140">
        <v>617</v>
      </c>
      <c r="H140">
        <v>4349.3337000000001</v>
      </c>
      <c r="I140">
        <v>4.2523546546579069E-2</v>
      </c>
      <c r="J140">
        <f t="shared" si="12"/>
        <v>4406.0951249999998</v>
      </c>
      <c r="V140">
        <v>616</v>
      </c>
      <c r="W140">
        <v>3699.4951599999999</v>
      </c>
      <c r="X140">
        <f t="shared" si="14"/>
        <v>4478.0624383880859</v>
      </c>
      <c r="Y140">
        <f t="shared" si="15"/>
        <v>-778.56727838808592</v>
      </c>
      <c r="AB140">
        <v>616</v>
      </c>
      <c r="AC140">
        <v>3315.3283199999996</v>
      </c>
      <c r="AD140">
        <f t="shared" si="16"/>
        <v>4332.2040005137051</v>
      </c>
      <c r="AE140">
        <f t="shared" si="17"/>
        <v>-1016.8756805137054</v>
      </c>
    </row>
    <row r="141" spans="1:31" x14ac:dyDescent="0.2">
      <c r="A141">
        <v>758</v>
      </c>
      <c r="B141">
        <v>7654.7609699999994</v>
      </c>
      <c r="C141">
        <f t="shared" si="13"/>
        <v>7524.5342000000001</v>
      </c>
      <c r="G141">
        <v>618</v>
      </c>
      <c r="H141">
        <v>4462.8565500000004</v>
      </c>
      <c r="I141">
        <v>4.3463340567107468E-2</v>
      </c>
      <c r="J141">
        <f t="shared" si="12"/>
        <v>4191.741935</v>
      </c>
      <c r="V141">
        <v>617</v>
      </c>
      <c r="W141">
        <v>3690.6864799999998</v>
      </c>
      <c r="X141">
        <f t="shared" si="14"/>
        <v>4381.9189146742656</v>
      </c>
      <c r="Y141">
        <f t="shared" si="15"/>
        <v>-691.23243467426573</v>
      </c>
      <c r="AB141">
        <v>617</v>
      </c>
      <c r="AC141">
        <v>3172.7694899999997</v>
      </c>
      <c r="AD141">
        <f t="shared" si="16"/>
        <v>4239.1920419295766</v>
      </c>
      <c r="AE141">
        <f t="shared" si="17"/>
        <v>-1066.4225519295769</v>
      </c>
    </row>
    <row r="142" spans="1:31" x14ac:dyDescent="0.2">
      <c r="A142">
        <v>759</v>
      </c>
      <c r="B142">
        <v>7394.3074299999998</v>
      </c>
      <c r="C142">
        <f t="shared" si="13"/>
        <v>6559.9520049999992</v>
      </c>
      <c r="G142">
        <v>619</v>
      </c>
      <c r="H142">
        <v>3920.6273199999996</v>
      </c>
      <c r="I142">
        <v>3.8974519258360207E-2</v>
      </c>
      <c r="J142">
        <f t="shared" si="12"/>
        <v>3858.0276699999999</v>
      </c>
      <c r="V142">
        <v>618</v>
      </c>
      <c r="W142">
        <v>3542.5816500000001</v>
      </c>
      <c r="X142">
        <f t="shared" si="14"/>
        <v>4478.761758907408</v>
      </c>
      <c r="Y142">
        <f t="shared" si="15"/>
        <v>-936.18010890740788</v>
      </c>
      <c r="AB142">
        <v>618</v>
      </c>
      <c r="AC142">
        <v>3141.1084299999998</v>
      </c>
      <c r="AD142">
        <f t="shared" si="16"/>
        <v>4332.8805429230924</v>
      </c>
      <c r="AE142">
        <f t="shared" si="17"/>
        <v>-1191.7721129230927</v>
      </c>
    </row>
    <row r="143" spans="1:31" x14ac:dyDescent="0.2">
      <c r="A143">
        <v>760</v>
      </c>
      <c r="B143">
        <v>5725.5965799999994</v>
      </c>
      <c r="C143">
        <f t="shared" si="13"/>
        <v>6342.3536100000001</v>
      </c>
      <c r="G143">
        <v>620</v>
      </c>
      <c r="H143">
        <v>3795.4280200000003</v>
      </c>
      <c r="I143">
        <v>3.7938062249799016E-2</v>
      </c>
      <c r="J143">
        <f t="shared" si="12"/>
        <v>3853.7276750000001</v>
      </c>
      <c r="V143">
        <v>619</v>
      </c>
      <c r="W143">
        <v>3243.0932499999999</v>
      </c>
      <c r="X143">
        <f t="shared" si="14"/>
        <v>4016.2027158641163</v>
      </c>
      <c r="Y143">
        <f t="shared" si="15"/>
        <v>-773.10946586411637</v>
      </c>
      <c r="AB143">
        <v>619</v>
      </c>
      <c r="AC143">
        <v>3105.6318099999999</v>
      </c>
      <c r="AD143">
        <f t="shared" si="16"/>
        <v>3885.3878685093646</v>
      </c>
      <c r="AE143">
        <f t="shared" si="17"/>
        <v>-779.75605850936472</v>
      </c>
    </row>
    <row r="144" spans="1:31" x14ac:dyDescent="0.2">
      <c r="A144">
        <v>761</v>
      </c>
      <c r="B144">
        <v>6959.1106399999999</v>
      </c>
      <c r="C144">
        <f t="shared" si="13"/>
        <v>6221.5905549999998</v>
      </c>
      <c r="G144">
        <v>621</v>
      </c>
      <c r="H144">
        <v>3912.0273300000003</v>
      </c>
      <c r="I144">
        <v>3.8903324611832192E-2</v>
      </c>
      <c r="J144">
        <f t="shared" si="12"/>
        <v>3754.919785</v>
      </c>
      <c r="V144">
        <v>620</v>
      </c>
      <c r="W144">
        <v>3381.0628500000003</v>
      </c>
      <c r="X144">
        <f t="shared" si="14"/>
        <v>3909.3990520378597</v>
      </c>
      <c r="Y144">
        <f t="shared" si="15"/>
        <v>-528.33620203785949</v>
      </c>
      <c r="AB144">
        <v>620</v>
      </c>
      <c r="AC144">
        <v>2943.8784599999999</v>
      </c>
      <c r="AD144">
        <f t="shared" si="16"/>
        <v>3782.0629894877629</v>
      </c>
      <c r="AE144">
        <f t="shared" si="17"/>
        <v>-838.18452948776303</v>
      </c>
    </row>
    <row r="145" spans="1:31" x14ac:dyDescent="0.2">
      <c r="A145">
        <v>762</v>
      </c>
      <c r="B145">
        <v>5484.0704699999997</v>
      </c>
      <c r="C145">
        <f t="shared" si="13"/>
        <v>6133.4085699999996</v>
      </c>
      <c r="G145">
        <v>622</v>
      </c>
      <c r="H145">
        <v>3597.8122400000002</v>
      </c>
      <c r="I145">
        <v>3.630210853293888E-2</v>
      </c>
      <c r="J145">
        <f t="shared" si="12"/>
        <v>3468.3845200000005</v>
      </c>
      <c r="V145">
        <v>621</v>
      </c>
      <c r="W145">
        <v>3326.6233299999999</v>
      </c>
      <c r="X145">
        <f t="shared" si="14"/>
        <v>4008.866329471628</v>
      </c>
      <c r="Y145">
        <f t="shared" si="15"/>
        <v>-682.24299947162808</v>
      </c>
      <c r="AB145">
        <v>621</v>
      </c>
      <c r="AC145">
        <v>2902.7168099999999</v>
      </c>
      <c r="AD145">
        <f t="shared" si="16"/>
        <v>3878.2904412367129</v>
      </c>
      <c r="AE145">
        <f t="shared" si="17"/>
        <v>-975.57363123671303</v>
      </c>
    </row>
    <row r="146" spans="1:31" x14ac:dyDescent="0.2">
      <c r="A146">
        <v>763</v>
      </c>
      <c r="B146">
        <v>6782.7466700000004</v>
      </c>
      <c r="C146">
        <f t="shared" si="13"/>
        <v>6478.8915750000006</v>
      </c>
      <c r="G146">
        <v>623</v>
      </c>
      <c r="H146">
        <v>3338.9568000000004</v>
      </c>
      <c r="I146">
        <v>3.4159184930393244E-2</v>
      </c>
      <c r="J146">
        <f t="shared" si="12"/>
        <v>3377.5251750000002</v>
      </c>
      <c r="V146">
        <v>622</v>
      </c>
      <c r="W146">
        <v>3258.2033300000003</v>
      </c>
      <c r="X146">
        <f t="shared" si="14"/>
        <v>3740.8191212085062</v>
      </c>
      <c r="Y146">
        <f t="shared" si="15"/>
        <v>-482.61579120850593</v>
      </c>
      <c r="AB146">
        <v>622</v>
      </c>
      <c r="AC146">
        <v>2926.02963</v>
      </c>
      <c r="AD146">
        <f t="shared" si="16"/>
        <v>3618.9740060728432</v>
      </c>
      <c r="AE146">
        <f t="shared" si="17"/>
        <v>-692.94437607284317</v>
      </c>
    </row>
    <row r="147" spans="1:31" x14ac:dyDescent="0.2">
      <c r="A147">
        <v>764</v>
      </c>
      <c r="B147">
        <v>6175.0364800000007</v>
      </c>
      <c r="C147">
        <f t="shared" si="13"/>
        <v>6588.8048799999997</v>
      </c>
      <c r="G147">
        <v>624</v>
      </c>
      <c r="H147">
        <v>3416.0935500000001</v>
      </c>
      <c r="I147">
        <v>3.4797758190428504E-2</v>
      </c>
      <c r="J147">
        <f t="shared" si="12"/>
        <v>3326.7266850000001</v>
      </c>
      <c r="V147">
        <v>623</v>
      </c>
      <c r="W147">
        <v>3191.2572400000004</v>
      </c>
      <c r="X147">
        <f t="shared" si="14"/>
        <v>3519.9975240162075</v>
      </c>
      <c r="Y147">
        <f t="shared" si="15"/>
        <v>-328.74028401620717</v>
      </c>
      <c r="AB147">
        <v>623</v>
      </c>
      <c r="AC147">
        <v>2820.5391</v>
      </c>
      <c r="AD147">
        <f t="shared" si="16"/>
        <v>3405.3449600471577</v>
      </c>
      <c r="AE147">
        <f t="shared" si="17"/>
        <v>-584.80586004715769</v>
      </c>
    </row>
    <row r="148" spans="1:31" x14ac:dyDescent="0.2">
      <c r="A148">
        <v>765</v>
      </c>
      <c r="B148">
        <v>7002.5732799999996</v>
      </c>
      <c r="C148">
        <f t="shared" si="13"/>
        <v>5745.9517149999992</v>
      </c>
      <c r="G148">
        <v>625</v>
      </c>
      <c r="H148">
        <v>3237.3598200000001</v>
      </c>
      <c r="I148">
        <v>3.3318118710616844E-2</v>
      </c>
      <c r="J148">
        <f t="shared" si="12"/>
        <v>3211.7730950000005</v>
      </c>
      <c r="V148">
        <v>624</v>
      </c>
      <c r="W148">
        <v>3279.6003500000002</v>
      </c>
      <c r="X148">
        <f t="shared" si="14"/>
        <v>3585.8005078639608</v>
      </c>
      <c r="Y148">
        <f t="shared" si="15"/>
        <v>-306.20015786396061</v>
      </c>
      <c r="AB148">
        <v>624</v>
      </c>
      <c r="AC148">
        <v>2746.4637600000001</v>
      </c>
      <c r="AD148">
        <f t="shared" si="16"/>
        <v>3469.004623973949</v>
      </c>
      <c r="AE148">
        <f t="shared" si="17"/>
        <v>-722.54086397394894</v>
      </c>
    </row>
    <row r="149" spans="1:31" x14ac:dyDescent="0.2">
      <c r="A149">
        <v>766</v>
      </c>
      <c r="B149">
        <v>4489.3301499999998</v>
      </c>
      <c r="C149">
        <f t="shared" si="13"/>
        <v>4899.2719400000005</v>
      </c>
      <c r="G149">
        <v>626</v>
      </c>
      <c r="H149">
        <v>3186.1863700000004</v>
      </c>
      <c r="I149">
        <v>3.2894481510530614E-2</v>
      </c>
      <c r="J149">
        <f t="shared" si="12"/>
        <v>3091.1799100000003</v>
      </c>
      <c r="V149">
        <v>625</v>
      </c>
      <c r="W149">
        <v>3201.9761100000001</v>
      </c>
      <c r="X149">
        <f t="shared" si="14"/>
        <v>3433.3282718903338</v>
      </c>
      <c r="Y149">
        <f t="shared" si="15"/>
        <v>-231.35216189033372</v>
      </c>
      <c r="AB149">
        <v>625</v>
      </c>
      <c r="AC149">
        <v>2543.4976200000001</v>
      </c>
      <c r="AD149">
        <f t="shared" si="16"/>
        <v>3321.498679217631</v>
      </c>
      <c r="AE149">
        <f t="shared" si="17"/>
        <v>-778.00105921763088</v>
      </c>
    </row>
    <row r="150" spans="1:31" x14ac:dyDescent="0.2">
      <c r="A150">
        <v>767</v>
      </c>
      <c r="B150">
        <v>5309.2137300000004</v>
      </c>
      <c r="C150">
        <f t="shared" si="13"/>
        <v>5090.0947150000002</v>
      </c>
      <c r="G150">
        <v>627</v>
      </c>
      <c r="H150">
        <v>2996.1734500000002</v>
      </c>
      <c r="I150">
        <v>3.1321467742472978E-2</v>
      </c>
      <c r="J150">
        <f t="shared" si="12"/>
        <v>2907.017605</v>
      </c>
      <c r="V150">
        <v>626</v>
      </c>
      <c r="W150">
        <v>3389.4896699999999</v>
      </c>
      <c r="X150">
        <f t="shared" si="14"/>
        <v>3389.6737790087464</v>
      </c>
      <c r="Y150">
        <f t="shared" si="15"/>
        <v>-0.18410900874641811</v>
      </c>
      <c r="AB150">
        <v>626</v>
      </c>
      <c r="AC150">
        <v>2578.17911</v>
      </c>
      <c r="AD150">
        <f t="shared" si="16"/>
        <v>3279.2660906139567</v>
      </c>
      <c r="AE150">
        <f t="shared" si="17"/>
        <v>-701.08698061395671</v>
      </c>
    </row>
    <row r="151" spans="1:31" x14ac:dyDescent="0.2">
      <c r="A151">
        <v>768</v>
      </c>
      <c r="B151">
        <v>4870.9757</v>
      </c>
      <c r="C151">
        <f t="shared" si="13"/>
        <v>4554.4726650000002</v>
      </c>
      <c r="G151">
        <v>628</v>
      </c>
      <c r="H151">
        <v>2817.8617599999998</v>
      </c>
      <c r="I151">
        <v>2.9845322102610043E-2</v>
      </c>
      <c r="J151">
        <f t="shared" si="12"/>
        <v>2699.3102399999998</v>
      </c>
      <c r="V151">
        <v>627</v>
      </c>
      <c r="W151">
        <v>3335.4990700000003</v>
      </c>
      <c r="X151">
        <f t="shared" si="14"/>
        <v>3227.5796137033053</v>
      </c>
      <c r="Y151">
        <f t="shared" si="15"/>
        <v>107.91945629669499</v>
      </c>
      <c r="AB151">
        <v>627</v>
      </c>
      <c r="AC151">
        <v>2613.78818</v>
      </c>
      <c r="AD151">
        <f t="shared" si="16"/>
        <v>3122.451619833837</v>
      </c>
      <c r="AE151">
        <f t="shared" si="17"/>
        <v>-508.66343983383695</v>
      </c>
    </row>
    <row r="152" spans="1:31" x14ac:dyDescent="0.2">
      <c r="A152">
        <v>769</v>
      </c>
      <c r="B152">
        <v>4237.9696300000005</v>
      </c>
      <c r="C152">
        <f t="shared" si="13"/>
        <v>4788.6351200000008</v>
      </c>
      <c r="G152">
        <v>629</v>
      </c>
      <c r="H152">
        <v>2580.7587199999998</v>
      </c>
      <c r="I152">
        <v>2.7882474805866645E-2</v>
      </c>
      <c r="J152">
        <f t="shared" si="12"/>
        <v>2551.6387249999998</v>
      </c>
      <c r="V152">
        <v>628</v>
      </c>
      <c r="W152">
        <v>3503.2325299999998</v>
      </c>
      <c r="X152">
        <f t="shared" si="14"/>
        <v>3075.4674070451874</v>
      </c>
      <c r="Y152">
        <f t="shared" si="15"/>
        <v>427.76512295481234</v>
      </c>
      <c r="AB152">
        <v>628</v>
      </c>
      <c r="AC152">
        <v>2606.0281</v>
      </c>
      <c r="AD152">
        <f t="shared" si="16"/>
        <v>2975.2939775995155</v>
      </c>
      <c r="AE152">
        <f t="shared" si="17"/>
        <v>-369.26587759951553</v>
      </c>
    </row>
    <row r="153" spans="1:31" x14ac:dyDescent="0.2">
      <c r="A153">
        <v>770</v>
      </c>
      <c r="B153">
        <v>5339.3006100000002</v>
      </c>
      <c r="C153">
        <f t="shared" si="13"/>
        <v>4524.0099650000002</v>
      </c>
      <c r="G153">
        <v>630</v>
      </c>
      <c r="H153">
        <v>2522.5187299999998</v>
      </c>
      <c r="I153">
        <v>2.740033755898081E-2</v>
      </c>
      <c r="J153">
        <f t="shared" si="12"/>
        <v>2599.4755049999999</v>
      </c>
      <c r="V153">
        <v>629</v>
      </c>
      <c r="W153">
        <v>3606.7406900000001</v>
      </c>
      <c r="X153">
        <f t="shared" si="14"/>
        <v>2873.2021118211446</v>
      </c>
      <c r="Y153">
        <f t="shared" si="15"/>
        <v>733.53857817885546</v>
      </c>
      <c r="AB153">
        <v>629</v>
      </c>
      <c r="AC153">
        <v>2455.1170400000001</v>
      </c>
      <c r="AD153">
        <f t="shared" si="16"/>
        <v>2779.6168218673815</v>
      </c>
      <c r="AE153">
        <f t="shared" si="17"/>
        <v>-324.49978186738144</v>
      </c>
    </row>
    <row r="154" spans="1:31" x14ac:dyDescent="0.2">
      <c r="A154">
        <v>771</v>
      </c>
      <c r="B154">
        <v>3708.7193199999997</v>
      </c>
      <c r="C154">
        <f t="shared" si="13"/>
        <v>4083.9731250000004</v>
      </c>
      <c r="G154">
        <v>631</v>
      </c>
      <c r="H154">
        <v>2676.43228</v>
      </c>
      <c r="I154">
        <v>2.8674504248491328E-2</v>
      </c>
      <c r="J154">
        <f t="shared" si="12"/>
        <v>2625.2422750000001</v>
      </c>
      <c r="V154">
        <v>630</v>
      </c>
      <c r="W154">
        <v>3798.8676799999998</v>
      </c>
      <c r="X154">
        <f t="shared" si="14"/>
        <v>2823.5193714767133</v>
      </c>
      <c r="Y154">
        <f t="shared" si="15"/>
        <v>975.34830852328651</v>
      </c>
      <c r="AB154">
        <v>630</v>
      </c>
      <c r="AC154">
        <v>2647.2284599999998</v>
      </c>
      <c r="AD154">
        <f t="shared" si="16"/>
        <v>2731.552336515073</v>
      </c>
      <c r="AE154">
        <f t="shared" si="17"/>
        <v>-84.323876515073152</v>
      </c>
    </row>
    <row r="155" spans="1:31" x14ac:dyDescent="0.2">
      <c r="A155">
        <v>772</v>
      </c>
      <c r="B155">
        <v>4459.2269300000007</v>
      </c>
      <c r="C155">
        <f t="shared" si="13"/>
        <v>4450.4199449999996</v>
      </c>
      <c r="G155">
        <v>632</v>
      </c>
      <c r="H155">
        <v>2574.0522700000001</v>
      </c>
      <c r="I155">
        <v>2.7826955748611017E-2</v>
      </c>
      <c r="J155">
        <f t="shared" si="12"/>
        <v>2522.7818900000002</v>
      </c>
      <c r="V155">
        <v>631</v>
      </c>
      <c r="W155">
        <v>3987.5726800000002</v>
      </c>
      <c r="X155">
        <f t="shared" si="14"/>
        <v>2954.8182769219179</v>
      </c>
      <c r="Y155">
        <f t="shared" si="15"/>
        <v>1032.7544030780823</v>
      </c>
      <c r="AB155">
        <v>631</v>
      </c>
      <c r="AC155">
        <v>2744.0537899999999</v>
      </c>
      <c r="AD155">
        <f t="shared" si="16"/>
        <v>2858.5746036805872</v>
      </c>
      <c r="AE155">
        <f t="shared" si="17"/>
        <v>-114.52081368058725</v>
      </c>
    </row>
    <row r="156" spans="1:31" x14ac:dyDescent="0.2">
      <c r="A156">
        <v>773</v>
      </c>
      <c r="B156">
        <v>4441.6129599999995</v>
      </c>
      <c r="C156">
        <f t="shared" si="13"/>
        <v>4547.2708649999995</v>
      </c>
      <c r="G156">
        <v>633</v>
      </c>
      <c r="H156">
        <v>2471.5115100000003</v>
      </c>
      <c r="I156">
        <v>2.697807648678454E-2</v>
      </c>
      <c r="J156">
        <f t="shared" si="12"/>
        <v>2395.7094850000003</v>
      </c>
      <c r="V156">
        <v>632</v>
      </c>
      <c r="W156">
        <v>4216.0281699999996</v>
      </c>
      <c r="X156">
        <f t="shared" si="14"/>
        <v>2867.4810460382882</v>
      </c>
      <c r="Y156">
        <f t="shared" si="15"/>
        <v>1348.5471239617113</v>
      </c>
      <c r="AB156">
        <v>632</v>
      </c>
      <c r="AC156">
        <v>2738.2941500000002</v>
      </c>
      <c r="AD156">
        <f t="shared" si="16"/>
        <v>2774.0821013464656</v>
      </c>
      <c r="AE156">
        <f t="shared" si="17"/>
        <v>-35.787951346465434</v>
      </c>
    </row>
    <row r="157" spans="1:31" x14ac:dyDescent="0.2">
      <c r="A157">
        <v>774</v>
      </c>
      <c r="B157">
        <v>4652.9287699999995</v>
      </c>
      <c r="C157">
        <f t="shared" si="13"/>
        <v>4685.3892900000001</v>
      </c>
      <c r="G157">
        <v>634</v>
      </c>
      <c r="H157">
        <v>2319.9074599999999</v>
      </c>
      <c r="I157">
        <v>2.5723028893477214E-2</v>
      </c>
      <c r="J157">
        <f t="shared" si="12"/>
        <v>2307.691045</v>
      </c>
      <c r="V157">
        <v>633</v>
      </c>
      <c r="W157">
        <v>4554.9802899999995</v>
      </c>
      <c r="X157">
        <f t="shared" si="14"/>
        <v>2780.0066842844376</v>
      </c>
      <c r="Y157">
        <f t="shared" si="15"/>
        <v>1774.9736057155619</v>
      </c>
      <c r="AB157">
        <v>633</v>
      </c>
      <c r="AC157">
        <v>2887.0901400000002</v>
      </c>
      <c r="AD157">
        <f t="shared" si="16"/>
        <v>2689.456934737841</v>
      </c>
      <c r="AE157">
        <f t="shared" si="17"/>
        <v>197.63320526215921</v>
      </c>
    </row>
    <row r="158" spans="1:31" x14ac:dyDescent="0.2">
      <c r="A158">
        <v>775</v>
      </c>
      <c r="B158">
        <v>4717.8498100000006</v>
      </c>
      <c r="C158">
        <f t="shared" si="13"/>
        <v>4732.9047250000003</v>
      </c>
      <c r="G158">
        <v>635</v>
      </c>
      <c r="H158">
        <v>2295.4746300000002</v>
      </c>
      <c r="I158">
        <v>2.5520762763455052E-2</v>
      </c>
      <c r="J158">
        <f t="shared" si="12"/>
        <v>2177.6538049999999</v>
      </c>
      <c r="V158">
        <v>634</v>
      </c>
      <c r="W158">
        <v>4929.4196700000002</v>
      </c>
      <c r="X158">
        <f t="shared" si="14"/>
        <v>2650.6779421037786</v>
      </c>
      <c r="Y158">
        <f t="shared" si="15"/>
        <v>2278.7417278962216</v>
      </c>
      <c r="AB158">
        <v>634</v>
      </c>
      <c r="AC158">
        <v>2825.6106300000001</v>
      </c>
      <c r="AD158">
        <f t="shared" si="16"/>
        <v>2564.3406591241996</v>
      </c>
      <c r="AE158">
        <f t="shared" si="17"/>
        <v>261.26997087580048</v>
      </c>
    </row>
    <row r="159" spans="1:31" x14ac:dyDescent="0.2">
      <c r="A159">
        <v>776</v>
      </c>
      <c r="B159">
        <v>4747.95964</v>
      </c>
      <c r="C159">
        <f t="shared" si="13"/>
        <v>4494.1080999999995</v>
      </c>
      <c r="G159">
        <v>636</v>
      </c>
      <c r="H159">
        <v>2059.8329800000001</v>
      </c>
      <c r="I159">
        <v>2.3570013520836083E-2</v>
      </c>
      <c r="J159">
        <f t="shared" si="12"/>
        <v>1995.4889000000003</v>
      </c>
      <c r="V159">
        <v>635</v>
      </c>
      <c r="W159">
        <v>5398.6359600000005</v>
      </c>
      <c r="X159">
        <f t="shared" si="14"/>
        <v>2629.8350479211113</v>
      </c>
      <c r="Y159">
        <f t="shared" si="15"/>
        <v>2768.8009120788893</v>
      </c>
      <c r="AB159">
        <v>635</v>
      </c>
      <c r="AC159">
        <v>3112.9924900000001</v>
      </c>
      <c r="AD159">
        <f t="shared" si="16"/>
        <v>2544.1766549811628</v>
      </c>
      <c r="AE159">
        <f t="shared" si="17"/>
        <v>568.81583501883733</v>
      </c>
    </row>
    <row r="160" spans="1:31" x14ac:dyDescent="0.2">
      <c r="A160">
        <v>777</v>
      </c>
      <c r="B160">
        <v>4240.2565599999998</v>
      </c>
      <c r="C160">
        <f t="shared" si="13"/>
        <v>4187.0959000000003</v>
      </c>
      <c r="G160">
        <v>637</v>
      </c>
      <c r="H160">
        <v>1931.1448200000002</v>
      </c>
      <c r="I160">
        <v>2.2504674135145876E-2</v>
      </c>
      <c r="J160">
        <f t="shared" si="12"/>
        <v>1982.9974649999999</v>
      </c>
      <c r="V160">
        <v>636</v>
      </c>
      <c r="W160">
        <v>5964.0446499999998</v>
      </c>
      <c r="X160">
        <f t="shared" si="14"/>
        <v>2428.8164194618103</v>
      </c>
      <c r="Y160">
        <f t="shared" si="15"/>
        <v>3535.2282305381896</v>
      </c>
      <c r="AB160">
        <v>636</v>
      </c>
      <c r="AC160">
        <v>3426.4780499999997</v>
      </c>
      <c r="AD160">
        <f t="shared" si="16"/>
        <v>2349.7055598656084</v>
      </c>
      <c r="AE160">
        <f t="shared" si="17"/>
        <v>1076.7724901343913</v>
      </c>
    </row>
    <row r="161" spans="1:31" x14ac:dyDescent="0.2">
      <c r="A161">
        <v>778</v>
      </c>
      <c r="B161">
        <v>4133.9352399999998</v>
      </c>
      <c r="C161">
        <f t="shared" si="13"/>
        <v>3396.2972849999996</v>
      </c>
      <c r="G161">
        <v>638</v>
      </c>
      <c r="H161">
        <v>2034.8501099999999</v>
      </c>
      <c r="I161">
        <v>2.3363193908382398E-2</v>
      </c>
      <c r="J161">
        <f t="shared" si="12"/>
        <v>1865.5120399999998</v>
      </c>
      <c r="V161">
        <v>637</v>
      </c>
      <c r="W161">
        <v>6685.67688</v>
      </c>
      <c r="X161">
        <f t="shared" si="14"/>
        <v>2319.0365167062882</v>
      </c>
      <c r="Y161">
        <f t="shared" si="15"/>
        <v>4366.6403632937117</v>
      </c>
      <c r="AB161">
        <v>637</v>
      </c>
      <c r="AC161">
        <v>3373.5353800000003</v>
      </c>
      <c r="AD161">
        <f t="shared" si="16"/>
        <v>2243.5013832966297</v>
      </c>
      <c r="AE161">
        <f t="shared" si="17"/>
        <v>1130.0339967033706</v>
      </c>
    </row>
    <row r="162" spans="1:31" x14ac:dyDescent="0.2">
      <c r="A162">
        <v>779</v>
      </c>
      <c r="B162">
        <v>2658.65933</v>
      </c>
      <c r="C162">
        <f t="shared" si="13"/>
        <v>2657.373955</v>
      </c>
      <c r="G162">
        <v>639</v>
      </c>
      <c r="H162">
        <v>1696.1739699999998</v>
      </c>
      <c r="I162">
        <v>2.0559478081413292E-2</v>
      </c>
      <c r="J162">
        <f t="shared" si="12"/>
        <v>1688.035815</v>
      </c>
      <c r="V162">
        <v>638</v>
      </c>
      <c r="W162">
        <v>6950.0995199999998</v>
      </c>
      <c r="X162">
        <f t="shared" si="14"/>
        <v>2407.5043031089631</v>
      </c>
      <c r="Y162">
        <f t="shared" si="15"/>
        <v>4542.5952168910371</v>
      </c>
      <c r="AB162">
        <v>638</v>
      </c>
      <c r="AC162">
        <v>3929.7373899999998</v>
      </c>
      <c r="AD162">
        <f t="shared" si="16"/>
        <v>2329.0876169508929</v>
      </c>
      <c r="AE162">
        <f t="shared" si="17"/>
        <v>1600.6497730491069</v>
      </c>
    </row>
    <row r="163" spans="1:31" x14ac:dyDescent="0.2">
      <c r="A163">
        <v>780</v>
      </c>
      <c r="B163">
        <v>2656.0885800000001</v>
      </c>
      <c r="C163">
        <f t="shared" si="13"/>
        <v>2491.4688550000001</v>
      </c>
      <c r="G163">
        <v>640</v>
      </c>
      <c r="H163">
        <v>1679.8976600000001</v>
      </c>
      <c r="I163">
        <v>2.0424735350639125E-2</v>
      </c>
      <c r="J163">
        <f t="shared" si="12"/>
        <v>1676.451855</v>
      </c>
      <c r="V163">
        <v>639</v>
      </c>
      <c r="W163">
        <v>7787.2587600000006</v>
      </c>
      <c r="X163">
        <f t="shared" si="14"/>
        <v>2118.5901270509958</v>
      </c>
      <c r="Y163">
        <f t="shared" si="15"/>
        <v>5668.6686329490049</v>
      </c>
      <c r="AB163">
        <v>639</v>
      </c>
      <c r="AC163">
        <v>3996.1086199999995</v>
      </c>
      <c r="AD163">
        <f t="shared" si="16"/>
        <v>2049.5838881520635</v>
      </c>
      <c r="AE163">
        <f t="shared" si="17"/>
        <v>1946.524731847936</v>
      </c>
    </row>
    <row r="164" spans="1:31" x14ac:dyDescent="0.2">
      <c r="A164">
        <v>781</v>
      </c>
      <c r="B164">
        <v>2326.8491300000001</v>
      </c>
      <c r="C164">
        <f t="shared" si="13"/>
        <v>2702.5169500000002</v>
      </c>
      <c r="G164">
        <v>641</v>
      </c>
      <c r="H164">
        <v>1673.00605</v>
      </c>
      <c r="I164">
        <v>2.0367683454304474E-2</v>
      </c>
      <c r="J164">
        <f t="shared" si="12"/>
        <v>1647.4659349999999</v>
      </c>
      <c r="V164">
        <v>640</v>
      </c>
      <c r="W164">
        <v>9172.499029999999</v>
      </c>
      <c r="X164">
        <f t="shared" si="14"/>
        <v>2104.7053086728429</v>
      </c>
      <c r="Y164">
        <f t="shared" si="15"/>
        <v>7067.7937213271562</v>
      </c>
      <c r="AB164">
        <v>640</v>
      </c>
      <c r="AC164">
        <v>4436.6388999999999</v>
      </c>
      <c r="AD164">
        <f t="shared" si="16"/>
        <v>2036.1513229406921</v>
      </c>
      <c r="AE164">
        <f t="shared" si="17"/>
        <v>2400.487577059308</v>
      </c>
    </row>
    <row r="165" spans="1:31" x14ac:dyDescent="0.2">
      <c r="A165">
        <v>782</v>
      </c>
      <c r="B165">
        <v>3078.1847699999998</v>
      </c>
      <c r="C165">
        <f t="shared" si="13"/>
        <v>3050.745915</v>
      </c>
      <c r="G165">
        <v>642</v>
      </c>
      <c r="H165">
        <v>1621.9258199999999</v>
      </c>
      <c r="I165">
        <v>1.9944817971970168E-2</v>
      </c>
      <c r="J165">
        <f t="shared" si="12"/>
        <v>1635.6917249999999</v>
      </c>
      <c r="V165">
        <v>641</v>
      </c>
      <c r="W165">
        <v>10591.624690000001</v>
      </c>
      <c r="X165">
        <f t="shared" si="14"/>
        <v>2098.8262886011512</v>
      </c>
      <c r="Y165">
        <f t="shared" si="15"/>
        <v>8492.7984013988498</v>
      </c>
      <c r="AB165">
        <v>641</v>
      </c>
      <c r="AC165">
        <v>4930.1680800000004</v>
      </c>
      <c r="AD165">
        <f t="shared" si="16"/>
        <v>2030.4637929823448</v>
      </c>
      <c r="AE165">
        <f t="shared" si="17"/>
        <v>2899.7042870176556</v>
      </c>
    </row>
    <row r="166" spans="1:31" x14ac:dyDescent="0.2">
      <c r="A166">
        <v>783</v>
      </c>
      <c r="B166">
        <v>3023.3070600000001</v>
      </c>
      <c r="C166">
        <f t="shared" si="13"/>
        <v>2971.53739</v>
      </c>
      <c r="G166">
        <v>643</v>
      </c>
      <c r="H166">
        <v>1649.4576299999999</v>
      </c>
      <c r="I166">
        <v>2.0172738874346417E-2</v>
      </c>
      <c r="J166">
        <f t="shared" si="12"/>
        <v>1595.9674749999999</v>
      </c>
      <c r="V166">
        <v>642</v>
      </c>
      <c r="W166">
        <v>10962.15151</v>
      </c>
      <c r="X166">
        <f t="shared" si="14"/>
        <v>2055.2513188282546</v>
      </c>
      <c r="Y166">
        <f t="shared" si="15"/>
        <v>8906.900191171746</v>
      </c>
      <c r="AB166">
        <v>642</v>
      </c>
      <c r="AC166">
        <v>5234.1891699999996</v>
      </c>
      <c r="AD166">
        <f t="shared" si="16"/>
        <v>1988.3081372786341</v>
      </c>
      <c r="AE166">
        <f t="shared" si="17"/>
        <v>3245.8810327213655</v>
      </c>
    </row>
    <row r="167" spans="1:31" x14ac:dyDescent="0.2">
      <c r="A167">
        <v>784</v>
      </c>
      <c r="B167">
        <v>2919.7677199999998</v>
      </c>
      <c r="C167">
        <f t="shared" si="13"/>
        <v>3571.4179799999997</v>
      </c>
      <c r="G167">
        <v>644</v>
      </c>
      <c r="H167">
        <v>1542.47732</v>
      </c>
      <c r="I167">
        <v>1.9287106989203693E-2</v>
      </c>
      <c r="J167">
        <f t="shared" si="12"/>
        <v>1540.036695</v>
      </c>
      <c r="V167">
        <v>643</v>
      </c>
      <c r="W167">
        <v>12534.48273</v>
      </c>
      <c r="X167">
        <f t="shared" si="14"/>
        <v>2078.737857329415</v>
      </c>
      <c r="Y167">
        <f t="shared" si="15"/>
        <v>10455.744872670584</v>
      </c>
      <c r="AB167">
        <v>643</v>
      </c>
      <c r="AC167">
        <v>5844.6374699999997</v>
      </c>
      <c r="AD167">
        <f t="shared" si="16"/>
        <v>2011.0296775547833</v>
      </c>
      <c r="AE167">
        <f t="shared" si="17"/>
        <v>3833.6077924452165</v>
      </c>
    </row>
    <row r="168" spans="1:31" x14ac:dyDescent="0.2">
      <c r="A168">
        <v>785</v>
      </c>
      <c r="B168">
        <v>4223.0682399999996</v>
      </c>
      <c r="C168">
        <f t="shared" si="13"/>
        <v>3630.3222799999999</v>
      </c>
      <c r="G168">
        <v>645</v>
      </c>
      <c r="H168">
        <v>1537.5960700000001</v>
      </c>
      <c r="I168">
        <v>1.924669777147613E-2</v>
      </c>
      <c r="J168">
        <f t="shared" si="12"/>
        <v>1485.1874400000002</v>
      </c>
      <c r="V168">
        <v>644</v>
      </c>
      <c r="W168">
        <v>13469.23603</v>
      </c>
      <c r="X168">
        <f t="shared" si="14"/>
        <v>1987.4762523103075</v>
      </c>
      <c r="Y168">
        <f t="shared" si="15"/>
        <v>11481.759777689693</v>
      </c>
      <c r="AB168">
        <v>644</v>
      </c>
      <c r="AC168">
        <v>6208.0395200000003</v>
      </c>
      <c r="AD168">
        <f t="shared" si="16"/>
        <v>1922.7406249127678</v>
      </c>
      <c r="AE168">
        <f t="shared" si="17"/>
        <v>4285.2988950872323</v>
      </c>
    </row>
    <row r="169" spans="1:31" x14ac:dyDescent="0.2">
      <c r="A169">
        <v>786</v>
      </c>
      <c r="B169">
        <v>3037.5763200000001</v>
      </c>
      <c r="C169">
        <f t="shared" si="13"/>
        <v>3280.3749699999998</v>
      </c>
      <c r="G169">
        <v>646</v>
      </c>
      <c r="H169">
        <v>1432.77881</v>
      </c>
      <c r="I169">
        <v>1.8378972602524055E-2</v>
      </c>
      <c r="J169">
        <f t="shared" si="12"/>
        <v>1404.9670550000001</v>
      </c>
      <c r="V169">
        <v>645</v>
      </c>
      <c r="W169">
        <v>15392.02406</v>
      </c>
      <c r="X169">
        <f t="shared" si="14"/>
        <v>1983.31220838952</v>
      </c>
      <c r="Y169">
        <f t="shared" si="15"/>
        <v>13408.71185161048</v>
      </c>
      <c r="AB169">
        <v>645</v>
      </c>
      <c r="AC169">
        <v>6804.0308799999993</v>
      </c>
      <c r="AD169">
        <f t="shared" si="16"/>
        <v>1918.7122112896554</v>
      </c>
      <c r="AE169">
        <f t="shared" si="17"/>
        <v>4885.3186687103444</v>
      </c>
    </row>
    <row r="170" spans="1:31" x14ac:dyDescent="0.2">
      <c r="A170">
        <v>787</v>
      </c>
      <c r="B170">
        <v>3523.17362</v>
      </c>
      <c r="C170">
        <f t="shared" si="13"/>
        <v>4116.01566</v>
      </c>
      <c r="G170">
        <v>647</v>
      </c>
      <c r="H170">
        <v>1377.1553000000001</v>
      </c>
      <c r="I170">
        <v>1.7918495772539594E-2</v>
      </c>
      <c r="J170">
        <f t="shared" si="12"/>
        <v>1324.5740650000002</v>
      </c>
      <c r="V170">
        <v>646</v>
      </c>
      <c r="W170">
        <v>16525.505870000001</v>
      </c>
      <c r="X170">
        <f t="shared" si="14"/>
        <v>1893.8958346539689</v>
      </c>
      <c r="Y170">
        <f t="shared" si="15"/>
        <v>14631.610035346032</v>
      </c>
      <c r="AB170">
        <v>646</v>
      </c>
      <c r="AC170">
        <v>7359.2532699999992</v>
      </c>
      <c r="AD170">
        <f t="shared" si="16"/>
        <v>1832.2082874747789</v>
      </c>
      <c r="AE170">
        <f t="shared" si="17"/>
        <v>5527.0449825252199</v>
      </c>
    </row>
    <row r="171" spans="1:31" x14ac:dyDescent="0.2">
      <c r="A171">
        <v>788</v>
      </c>
      <c r="B171">
        <v>4708.8576999999996</v>
      </c>
      <c r="C171">
        <f t="shared" si="13"/>
        <v>3349.2916599999999</v>
      </c>
      <c r="G171">
        <v>648</v>
      </c>
      <c r="H171">
        <v>1271.9928300000001</v>
      </c>
      <c r="I171">
        <v>1.7047912797482172E-2</v>
      </c>
      <c r="J171">
        <f t="shared" si="12"/>
        <v>1298.4306300000001</v>
      </c>
      <c r="V171">
        <v>647</v>
      </c>
      <c r="W171">
        <v>18336.64748</v>
      </c>
      <c r="X171">
        <f t="shared" si="14"/>
        <v>1846.4451327500733</v>
      </c>
      <c r="Y171">
        <f t="shared" si="15"/>
        <v>16490.202347249928</v>
      </c>
      <c r="AB171">
        <v>647</v>
      </c>
      <c r="AC171">
        <v>8191.82071</v>
      </c>
      <c r="AD171">
        <f t="shared" si="16"/>
        <v>1786.3031391112747</v>
      </c>
      <c r="AE171">
        <f t="shared" si="17"/>
        <v>6405.5175708887255</v>
      </c>
    </row>
    <row r="172" spans="1:31" x14ac:dyDescent="0.2">
      <c r="A172">
        <v>789</v>
      </c>
      <c r="B172">
        <v>1989.7256199999999</v>
      </c>
      <c r="C172">
        <f t="shared" si="13"/>
        <v>2589.00198</v>
      </c>
      <c r="G172">
        <v>649</v>
      </c>
      <c r="H172">
        <v>1324.86843</v>
      </c>
      <c r="I172">
        <v>1.7485641172975314E-2</v>
      </c>
      <c r="J172">
        <f t="shared" si="12"/>
        <v>1367.578385</v>
      </c>
      <c r="V172">
        <v>648</v>
      </c>
      <c r="W172">
        <v>20421.328350000003</v>
      </c>
      <c r="X172">
        <f t="shared" si="14"/>
        <v>1756.7342710038909</v>
      </c>
      <c r="Y172">
        <f t="shared" si="15"/>
        <v>18664.594078996113</v>
      </c>
      <c r="AB172">
        <v>648</v>
      </c>
      <c r="AC172">
        <v>9187.3655699999999</v>
      </c>
      <c r="AD172">
        <f t="shared" si="16"/>
        <v>1699.5143192827063</v>
      </c>
      <c r="AE172">
        <f t="shared" si="17"/>
        <v>7487.8512507172936</v>
      </c>
    </row>
    <row r="173" spans="1:31" x14ac:dyDescent="0.2">
      <c r="A173">
        <v>790</v>
      </c>
      <c r="B173">
        <v>3188.2783399999998</v>
      </c>
      <c r="C173">
        <f t="shared" si="13"/>
        <v>2575.7056549999998</v>
      </c>
      <c r="G173">
        <v>650</v>
      </c>
      <c r="H173">
        <v>1410.2883400000001</v>
      </c>
      <c r="I173">
        <v>1.819278621603998E-2</v>
      </c>
      <c r="J173">
        <f t="shared" si="12"/>
        <v>1194.8804500000001</v>
      </c>
      <c r="V173">
        <v>649</v>
      </c>
      <c r="W173">
        <v>22517.68089</v>
      </c>
      <c r="X173">
        <f t="shared" si="14"/>
        <v>1801.8408155853033</v>
      </c>
      <c r="Y173">
        <f t="shared" si="15"/>
        <v>20715.840074414697</v>
      </c>
      <c r="AB173">
        <v>649</v>
      </c>
      <c r="AC173">
        <v>9339.8101599999991</v>
      </c>
      <c r="AD173">
        <f t="shared" si="16"/>
        <v>1743.1516636863464</v>
      </c>
      <c r="AE173">
        <f t="shared" si="17"/>
        <v>7596.6584963136529</v>
      </c>
    </row>
    <row r="174" spans="1:31" x14ac:dyDescent="0.2">
      <c r="A174">
        <v>791</v>
      </c>
      <c r="B174">
        <v>1963.1329700000001</v>
      </c>
      <c r="C174">
        <f t="shared" si="13"/>
        <v>3145.4541250000002</v>
      </c>
      <c r="G174">
        <v>651</v>
      </c>
      <c r="H174">
        <v>979.47255999999993</v>
      </c>
      <c r="I174">
        <v>1.4626296350842987E-2</v>
      </c>
      <c r="J174">
        <f t="shared" si="12"/>
        <v>1016.389055</v>
      </c>
      <c r="V174">
        <v>650</v>
      </c>
      <c r="W174">
        <v>23857.458719999999</v>
      </c>
      <c r="X174">
        <f t="shared" si="14"/>
        <v>1874.7099079181601</v>
      </c>
      <c r="Y174">
        <f t="shared" si="15"/>
        <v>21982.748812081838</v>
      </c>
      <c r="AB174">
        <v>650</v>
      </c>
      <c r="AC174">
        <v>10408.685170000001</v>
      </c>
      <c r="AD174">
        <f t="shared" si="16"/>
        <v>1813.6472804093321</v>
      </c>
      <c r="AE174">
        <f t="shared" si="17"/>
        <v>8595.0378895906688</v>
      </c>
    </row>
    <row r="175" spans="1:31" x14ac:dyDescent="0.2">
      <c r="A175">
        <v>792</v>
      </c>
      <c r="B175">
        <v>4327.7752799999998</v>
      </c>
      <c r="C175">
        <f t="shared" si="13"/>
        <v>3493.9985750000001</v>
      </c>
      <c r="G175">
        <v>652</v>
      </c>
      <c r="H175">
        <v>1053.30555</v>
      </c>
      <c r="I175">
        <v>1.5237519576120833E-2</v>
      </c>
      <c r="J175">
        <f t="shared" si="12"/>
        <v>1131.410795</v>
      </c>
      <c r="V175">
        <v>651</v>
      </c>
      <c r="W175">
        <v>25786.171569999999</v>
      </c>
      <c r="X175">
        <f t="shared" si="14"/>
        <v>1507.1942449858072</v>
      </c>
      <c r="Y175">
        <f t="shared" si="15"/>
        <v>24278.977325014192</v>
      </c>
      <c r="AB175">
        <v>651</v>
      </c>
      <c r="AC175">
        <v>10976.01974</v>
      </c>
      <c r="AD175">
        <f t="shared" si="16"/>
        <v>1458.1022546056959</v>
      </c>
      <c r="AE175">
        <f t="shared" si="17"/>
        <v>9517.9174853943041</v>
      </c>
    </row>
    <row r="176" spans="1:31" x14ac:dyDescent="0.2">
      <c r="A176">
        <v>793</v>
      </c>
      <c r="B176">
        <v>2660.2218700000003</v>
      </c>
      <c r="C176">
        <f t="shared" si="13"/>
        <v>2130.816515</v>
      </c>
      <c r="G176">
        <v>653</v>
      </c>
      <c r="H176">
        <v>1209.51604</v>
      </c>
      <c r="I176">
        <v>1.6530701384415918E-2</v>
      </c>
      <c r="J176">
        <f t="shared" si="12"/>
        <v>1083.7428749999999</v>
      </c>
      <c r="V176">
        <v>652</v>
      </c>
      <c r="W176">
        <v>28254.0959</v>
      </c>
      <c r="X176">
        <f t="shared" si="14"/>
        <v>1570.1788930089781</v>
      </c>
      <c r="Y176">
        <f t="shared" si="15"/>
        <v>26683.917006991021</v>
      </c>
      <c r="AB176">
        <v>652</v>
      </c>
      <c r="AC176">
        <v>12105.33783</v>
      </c>
      <c r="AD176">
        <f t="shared" si="16"/>
        <v>1519.0353809055487</v>
      </c>
      <c r="AE176">
        <f t="shared" si="17"/>
        <v>10586.302449094452</v>
      </c>
    </row>
    <row r="177" spans="1:31" x14ac:dyDescent="0.2">
      <c r="A177">
        <v>794</v>
      </c>
      <c r="B177">
        <v>1601.4111599999999</v>
      </c>
      <c r="C177">
        <f t="shared" si="13"/>
        <v>1626.3102199999998</v>
      </c>
      <c r="G177">
        <v>654</v>
      </c>
      <c r="H177">
        <v>957.96971000000008</v>
      </c>
      <c r="I177">
        <v>1.4448285933959346E-2</v>
      </c>
      <c r="J177">
        <f t="shared" si="12"/>
        <v>991.68806000000006</v>
      </c>
      <c r="V177">
        <v>653</v>
      </c>
      <c r="W177">
        <v>29732.08971</v>
      </c>
      <c r="X177">
        <f t="shared" si="14"/>
        <v>1703.4372471698628</v>
      </c>
      <c r="Y177">
        <f t="shared" si="15"/>
        <v>28028.652462830138</v>
      </c>
      <c r="AB177">
        <v>653</v>
      </c>
      <c r="AC177">
        <v>12804.9208</v>
      </c>
      <c r="AD177">
        <f t="shared" si="16"/>
        <v>1647.9532740659356</v>
      </c>
      <c r="AE177">
        <f t="shared" si="17"/>
        <v>11156.967525934064</v>
      </c>
    </row>
    <row r="178" spans="1:31" x14ac:dyDescent="0.2">
      <c r="A178">
        <v>795</v>
      </c>
      <c r="B178">
        <v>1651.2092799999998</v>
      </c>
      <c r="C178">
        <f t="shared" si="13"/>
        <v>2628.9151400000001</v>
      </c>
      <c r="G178">
        <v>655</v>
      </c>
      <c r="H178">
        <v>1025.4064100000001</v>
      </c>
      <c r="I178">
        <v>1.5006557748172675E-2</v>
      </c>
      <c r="J178">
        <f t="shared" si="12"/>
        <v>1094.2690600000001</v>
      </c>
      <c r="V178">
        <v>654</v>
      </c>
      <c r="W178">
        <v>32173.536479999999</v>
      </c>
      <c r="X178">
        <f t="shared" si="14"/>
        <v>1488.8508264307002</v>
      </c>
      <c r="Y178">
        <f t="shared" si="15"/>
        <v>30684.6856535693</v>
      </c>
      <c r="AB178">
        <v>654</v>
      </c>
      <c r="AC178">
        <v>13774.859759999999</v>
      </c>
      <c r="AD178">
        <f t="shared" si="16"/>
        <v>1440.3563137348631</v>
      </c>
      <c r="AE178">
        <f t="shared" si="17"/>
        <v>12334.503446265137</v>
      </c>
    </row>
    <row r="179" spans="1:31" x14ac:dyDescent="0.2">
      <c r="A179">
        <v>796</v>
      </c>
      <c r="B179">
        <v>3606.6210000000001</v>
      </c>
      <c r="C179">
        <f t="shared" si="13"/>
        <v>3064.2898450000002</v>
      </c>
      <c r="G179">
        <v>656</v>
      </c>
      <c r="H179">
        <v>1163.1317100000001</v>
      </c>
      <c r="I179">
        <v>1.6146710707823354E-2</v>
      </c>
      <c r="J179">
        <f t="shared" si="12"/>
        <v>1009.0031250000001</v>
      </c>
      <c r="V179">
        <v>655</v>
      </c>
      <c r="W179">
        <v>33480.271119999998</v>
      </c>
      <c r="X179">
        <f t="shared" si="14"/>
        <v>1546.378996606988</v>
      </c>
      <c r="Y179">
        <f t="shared" si="15"/>
        <v>31933.892123393009</v>
      </c>
      <c r="AB179">
        <v>655</v>
      </c>
      <c r="AC179">
        <v>14187.52377</v>
      </c>
      <c r="AD179">
        <f t="shared" si="16"/>
        <v>1496.0106893513089</v>
      </c>
      <c r="AE179">
        <f t="shared" si="17"/>
        <v>12691.51308064869</v>
      </c>
    </row>
    <row r="180" spans="1:31" x14ac:dyDescent="0.2">
      <c r="A180">
        <v>797</v>
      </c>
      <c r="B180">
        <v>2521.9586900000004</v>
      </c>
      <c r="C180">
        <f t="shared" si="13"/>
        <v>2565.7946000000002</v>
      </c>
      <c r="G180">
        <v>657</v>
      </c>
      <c r="H180">
        <v>854.87454000000002</v>
      </c>
      <c r="I180">
        <v>1.3594817012844708E-2</v>
      </c>
      <c r="J180">
        <f t="shared" si="12"/>
        <v>910.99627499999997</v>
      </c>
      <c r="V180">
        <v>656</v>
      </c>
      <c r="W180">
        <v>35685.663979999998</v>
      </c>
      <c r="X180">
        <f t="shared" si="14"/>
        <v>1663.8682049457755</v>
      </c>
      <c r="Y180">
        <f t="shared" si="15"/>
        <v>34021.795775054219</v>
      </c>
      <c r="AB180">
        <v>656</v>
      </c>
      <c r="AC180">
        <v>14395.611780000001</v>
      </c>
      <c r="AD180">
        <f t="shared" si="16"/>
        <v>1609.6730657440992</v>
      </c>
      <c r="AE180">
        <f t="shared" si="17"/>
        <v>12785.938714255903</v>
      </c>
    </row>
    <row r="181" spans="1:31" x14ac:dyDescent="0.2">
      <c r="A181">
        <v>798</v>
      </c>
      <c r="B181">
        <v>2609.63051</v>
      </c>
      <c r="C181">
        <f t="shared" si="13"/>
        <v>2223.16012</v>
      </c>
      <c r="G181">
        <v>658</v>
      </c>
      <c r="H181">
        <v>967.11800999999991</v>
      </c>
      <c r="I181">
        <v>1.4524019741188462E-2</v>
      </c>
      <c r="J181">
        <f t="shared" si="12"/>
        <v>984.60704499999997</v>
      </c>
      <c r="V181">
        <v>657</v>
      </c>
      <c r="W181">
        <v>36827.200209999995</v>
      </c>
      <c r="X181">
        <f t="shared" si="14"/>
        <v>1400.9035145943658</v>
      </c>
      <c r="Y181">
        <f t="shared" si="15"/>
        <v>35426.296695405632</v>
      </c>
      <c r="AB181">
        <v>657</v>
      </c>
      <c r="AC181">
        <v>15700.49431</v>
      </c>
      <c r="AD181">
        <f t="shared" si="16"/>
        <v>1355.2736018669732</v>
      </c>
      <c r="AE181">
        <f t="shared" si="17"/>
        <v>14345.220708133027</v>
      </c>
    </row>
    <row r="182" spans="1:31" x14ac:dyDescent="0.2">
      <c r="A182">
        <v>799</v>
      </c>
      <c r="B182">
        <v>1836.6897300000001</v>
      </c>
      <c r="C182">
        <f t="shared" si="13"/>
        <v>2391.3960699999998</v>
      </c>
      <c r="G182">
        <v>659</v>
      </c>
      <c r="H182">
        <v>1002.09608</v>
      </c>
      <c r="I182">
        <v>1.481358418601718E-2</v>
      </c>
      <c r="J182">
        <f t="shared" si="12"/>
        <v>921.555925</v>
      </c>
      <c r="V182">
        <v>658</v>
      </c>
      <c r="W182">
        <v>38897.347739999997</v>
      </c>
      <c r="X182">
        <f t="shared" si="14"/>
        <v>1496.6549591836927</v>
      </c>
      <c r="Y182">
        <f t="shared" si="15"/>
        <v>37400.692780816302</v>
      </c>
      <c r="AB182">
        <v>658</v>
      </c>
      <c r="AC182">
        <v>16393.494580000002</v>
      </c>
      <c r="AD182">
        <f t="shared" si="16"/>
        <v>1447.906252039257</v>
      </c>
      <c r="AE182">
        <f t="shared" si="17"/>
        <v>14945.588327960746</v>
      </c>
    </row>
    <row r="183" spans="1:31" x14ac:dyDescent="0.2">
      <c r="A183">
        <v>800</v>
      </c>
      <c r="B183">
        <v>2946.10241</v>
      </c>
      <c r="C183">
        <f t="shared" si="13"/>
        <v>-1178440.9639999999</v>
      </c>
      <c r="G183">
        <v>660</v>
      </c>
      <c r="H183">
        <v>841.01576999999997</v>
      </c>
      <c r="I183">
        <v>1.3480087782756858E-2</v>
      </c>
      <c r="J183">
        <f t="shared" si="12"/>
        <v>811.01997499999993</v>
      </c>
      <c r="V183">
        <v>659</v>
      </c>
      <c r="W183">
        <v>39978.290289999997</v>
      </c>
      <c r="X183">
        <f t="shared" si="14"/>
        <v>1526.4936725756306</v>
      </c>
      <c r="Y183">
        <f t="shared" si="15"/>
        <v>38451.796617424363</v>
      </c>
      <c r="AB183">
        <v>659</v>
      </c>
      <c r="AC183">
        <v>16715.997530000001</v>
      </c>
      <c r="AD183">
        <f t="shared" si="16"/>
        <v>1476.7730656009874</v>
      </c>
      <c r="AE183">
        <f t="shared" si="17"/>
        <v>15239.224464399013</v>
      </c>
    </row>
    <row r="184" spans="1:31" x14ac:dyDescent="0.2">
      <c r="G184">
        <v>661</v>
      </c>
      <c r="H184">
        <v>781.02418</v>
      </c>
      <c r="I184">
        <v>1.2983449990770564E-2</v>
      </c>
      <c r="J184">
        <f t="shared" si="12"/>
        <v>772.50700000000006</v>
      </c>
      <c r="V184">
        <v>660</v>
      </c>
      <c r="W184">
        <v>40922.1639</v>
      </c>
      <c r="X184">
        <f t="shared" si="14"/>
        <v>1389.0810250746524</v>
      </c>
      <c r="Y184">
        <f t="shared" si="15"/>
        <v>39533.082874925349</v>
      </c>
      <c r="AB184">
        <v>660</v>
      </c>
      <c r="AC184">
        <v>17185.616290000002</v>
      </c>
      <c r="AD184">
        <f t="shared" si="16"/>
        <v>1343.8361918044709</v>
      </c>
      <c r="AE184">
        <f t="shared" si="17"/>
        <v>15841.780098195532</v>
      </c>
    </row>
    <row r="185" spans="1:31" x14ac:dyDescent="0.2">
      <c r="G185">
        <v>662</v>
      </c>
      <c r="H185">
        <v>763.98982000000001</v>
      </c>
      <c r="I185">
        <v>1.2842431775745762E-2</v>
      </c>
      <c r="J185">
        <f t="shared" si="12"/>
        <v>815.34519999999998</v>
      </c>
      <c r="V185">
        <v>661</v>
      </c>
      <c r="W185">
        <v>42476.249489999995</v>
      </c>
      <c r="X185">
        <f t="shared" si="14"/>
        <v>1337.9040487595885</v>
      </c>
      <c r="Y185">
        <f t="shared" si="15"/>
        <v>41138.34544124041</v>
      </c>
      <c r="AB185">
        <v>661</v>
      </c>
      <c r="AC185">
        <v>17605.781500000001</v>
      </c>
      <c r="AD185">
        <f t="shared" si="16"/>
        <v>1294.3261403979252</v>
      </c>
      <c r="AE185">
        <f t="shared" si="17"/>
        <v>16311.455359602076</v>
      </c>
    </row>
    <row r="186" spans="1:31" x14ac:dyDescent="0.2">
      <c r="G186">
        <v>663</v>
      </c>
      <c r="H186">
        <v>866.70057999999995</v>
      </c>
      <c r="I186">
        <v>1.3692718375244696E-2</v>
      </c>
      <c r="J186">
        <f t="shared" si="12"/>
        <v>884.42939000000001</v>
      </c>
      <c r="V186">
        <v>662</v>
      </c>
      <c r="W186">
        <v>42911.26786</v>
      </c>
      <c r="X186">
        <f t="shared" si="14"/>
        <v>1323.3725612917235</v>
      </c>
      <c r="Y186">
        <f t="shared" si="15"/>
        <v>41587.895298708274</v>
      </c>
      <c r="AB186">
        <v>662</v>
      </c>
      <c r="AC186">
        <v>17815.173880000002</v>
      </c>
      <c r="AD186">
        <f t="shared" si="16"/>
        <v>1280.2679692563099</v>
      </c>
      <c r="AE186">
        <f t="shared" si="17"/>
        <v>16534.905910743691</v>
      </c>
    </row>
    <row r="187" spans="1:31" x14ac:dyDescent="0.2">
      <c r="G187">
        <v>664</v>
      </c>
      <c r="H187">
        <v>902.15820000000008</v>
      </c>
      <c r="I187">
        <v>1.3986252754078282E-2</v>
      </c>
      <c r="J187">
        <f t="shared" si="12"/>
        <v>843.6530150000001</v>
      </c>
      <c r="V187">
        <v>663</v>
      </c>
      <c r="W187">
        <v>43759.28772</v>
      </c>
      <c r="X187">
        <f t="shared" si="14"/>
        <v>1410.9919448056835</v>
      </c>
      <c r="Y187">
        <f t="shared" si="15"/>
        <v>42348.295775194318</v>
      </c>
      <c r="AB187">
        <v>663</v>
      </c>
      <c r="AC187">
        <v>18018.391919999998</v>
      </c>
      <c r="AD187">
        <f t="shared" si="16"/>
        <v>1365.0334340090426</v>
      </c>
      <c r="AE187">
        <f t="shared" si="17"/>
        <v>16653.358485990957</v>
      </c>
    </row>
    <row r="188" spans="1:31" x14ac:dyDescent="0.2">
      <c r="G188">
        <v>665</v>
      </c>
      <c r="H188">
        <v>785.14783</v>
      </c>
      <c r="I188">
        <v>1.3017587449553109E-2</v>
      </c>
      <c r="J188">
        <f t="shared" si="12"/>
        <v>700.36029499999995</v>
      </c>
      <c r="V188">
        <v>664</v>
      </c>
      <c r="W188">
        <v>44086.031510000001</v>
      </c>
      <c r="X188">
        <f t="shared" si="14"/>
        <v>1441.2397475215068</v>
      </c>
      <c r="Y188">
        <f t="shared" si="15"/>
        <v>42644.791762478497</v>
      </c>
      <c r="AB188">
        <v>664</v>
      </c>
      <c r="AC188">
        <v>18264.987240000002</v>
      </c>
      <c r="AD188">
        <f t="shared" si="16"/>
        <v>1394.2960121296387</v>
      </c>
      <c r="AE188">
        <f t="shared" si="17"/>
        <v>16870.691227870364</v>
      </c>
    </row>
    <row r="189" spans="1:31" x14ac:dyDescent="0.2">
      <c r="G189">
        <v>666</v>
      </c>
      <c r="H189">
        <v>615.57276000000002</v>
      </c>
      <c r="I189">
        <v>1.1613767541784012E-2</v>
      </c>
      <c r="J189">
        <f t="shared" si="12"/>
        <v>650.78319499999998</v>
      </c>
      <c r="V189">
        <v>665</v>
      </c>
      <c r="W189">
        <v>44052.714660000005</v>
      </c>
      <c r="X189">
        <f t="shared" si="14"/>
        <v>1341.4218074717949</v>
      </c>
      <c r="Y189">
        <f t="shared" si="15"/>
        <v>42711.292852528211</v>
      </c>
      <c r="AB189">
        <v>665</v>
      </c>
      <c r="AC189">
        <v>18275.903719999998</v>
      </c>
      <c r="AD189">
        <f t="shared" si="16"/>
        <v>1297.729319468235</v>
      </c>
      <c r="AE189">
        <f t="shared" si="17"/>
        <v>16978.174400531763</v>
      </c>
    </row>
    <row r="190" spans="1:31" x14ac:dyDescent="0.2">
      <c r="G190">
        <v>667</v>
      </c>
      <c r="H190">
        <v>685.99363000000005</v>
      </c>
      <c r="I190">
        <v>1.2196743678715104E-2</v>
      </c>
      <c r="J190">
        <f t="shared" si="12"/>
        <v>727.2657650000001</v>
      </c>
      <c r="V190">
        <v>666</v>
      </c>
      <c r="W190">
        <v>44077.408490000002</v>
      </c>
      <c r="X190">
        <f t="shared" si="14"/>
        <v>1196.7625420478353</v>
      </c>
      <c r="Y190">
        <f t="shared" si="15"/>
        <v>42880.645947952165</v>
      </c>
      <c r="AB190">
        <v>666</v>
      </c>
      <c r="AC190">
        <v>18482.244290000002</v>
      </c>
      <c r="AD190">
        <f t="shared" si="16"/>
        <v>1157.7818629502692</v>
      </c>
      <c r="AE190">
        <f t="shared" si="17"/>
        <v>17324.462427049733</v>
      </c>
    </row>
    <row r="191" spans="1:31" x14ac:dyDescent="0.2">
      <c r="G191">
        <v>668</v>
      </c>
      <c r="H191">
        <v>768.53790000000004</v>
      </c>
      <c r="I191">
        <v>1.2880082859989022E-2</v>
      </c>
      <c r="J191">
        <f t="shared" si="12"/>
        <v>677.02808000000005</v>
      </c>
      <c r="V191">
        <v>667</v>
      </c>
      <c r="W191">
        <v>44466.995779999997</v>
      </c>
      <c r="X191">
        <f t="shared" si="14"/>
        <v>1256.8364156703917</v>
      </c>
      <c r="Y191">
        <f t="shared" si="15"/>
        <v>43210.159364329607</v>
      </c>
      <c r="AB191">
        <v>667</v>
      </c>
      <c r="AC191">
        <v>17920.645820000002</v>
      </c>
      <c r="AD191">
        <f t="shared" si="16"/>
        <v>1215.8990239355621</v>
      </c>
      <c r="AE191">
        <f t="shared" si="17"/>
        <v>16704.746796064439</v>
      </c>
    </row>
    <row r="192" spans="1:31" x14ac:dyDescent="0.2">
      <c r="G192">
        <v>669</v>
      </c>
      <c r="H192">
        <v>585.51826000000005</v>
      </c>
      <c r="I192">
        <v>1.1364962658978737E-2</v>
      </c>
      <c r="J192">
        <f t="shared" si="12"/>
        <v>587.90034500000002</v>
      </c>
      <c r="V192">
        <v>668</v>
      </c>
      <c r="W192">
        <v>43569.921539999996</v>
      </c>
      <c r="X192">
        <f t="shared" si="14"/>
        <v>1327.2523881547727</v>
      </c>
      <c r="Y192">
        <f t="shared" si="15"/>
        <v>42242.669151845221</v>
      </c>
      <c r="AB192">
        <v>668</v>
      </c>
      <c r="AC192">
        <v>18037.504809999999</v>
      </c>
      <c r="AD192">
        <f t="shared" si="16"/>
        <v>1284.0214232754663</v>
      </c>
      <c r="AE192">
        <f t="shared" si="17"/>
        <v>16753.483386724532</v>
      </c>
    </row>
    <row r="193" spans="7:31" x14ac:dyDescent="0.2">
      <c r="G193">
        <v>670</v>
      </c>
      <c r="H193">
        <v>590.28242999999998</v>
      </c>
      <c r="I193">
        <v>1.1404402634972827E-2</v>
      </c>
      <c r="J193">
        <f t="shared" si="12"/>
        <v>502.91920999999996</v>
      </c>
      <c r="V193">
        <v>669</v>
      </c>
      <c r="W193">
        <v>42329.12212</v>
      </c>
      <c r="X193">
        <f t="shared" si="14"/>
        <v>1171.1239744642605</v>
      </c>
      <c r="Y193">
        <f t="shared" si="15"/>
        <v>41157.998145535741</v>
      </c>
      <c r="AB193">
        <v>669</v>
      </c>
      <c r="AC193">
        <v>17906.685710000002</v>
      </c>
      <c r="AD193">
        <f t="shared" si="16"/>
        <v>1132.9783889967027</v>
      </c>
      <c r="AE193">
        <f t="shared" si="17"/>
        <v>16773.707321003298</v>
      </c>
    </row>
    <row r="194" spans="7:31" x14ac:dyDescent="0.2">
      <c r="G194">
        <v>671</v>
      </c>
      <c r="H194">
        <v>415.55598999999995</v>
      </c>
      <c r="I194">
        <v>9.9579373326991964E-3</v>
      </c>
      <c r="J194">
        <f t="shared" si="12"/>
        <v>451.72465999999997</v>
      </c>
      <c r="V194">
        <v>670</v>
      </c>
      <c r="W194">
        <v>42419.938649999996</v>
      </c>
      <c r="X194">
        <f t="shared" si="14"/>
        <v>1175.188141045792</v>
      </c>
      <c r="Y194">
        <f t="shared" si="15"/>
        <v>41244.750508954203</v>
      </c>
      <c r="AB194">
        <v>670</v>
      </c>
      <c r="AC194">
        <v>17190.365170000001</v>
      </c>
      <c r="AD194">
        <f t="shared" si="16"/>
        <v>1136.9101784626848</v>
      </c>
      <c r="AE194">
        <f t="shared" si="17"/>
        <v>16053.454991537315</v>
      </c>
    </row>
    <row r="195" spans="7:31" x14ac:dyDescent="0.2">
      <c r="G195">
        <v>672</v>
      </c>
      <c r="H195">
        <v>487.89333000000005</v>
      </c>
      <c r="I195">
        <v>1.0556778883919324E-2</v>
      </c>
      <c r="J195">
        <f t="shared" si="12"/>
        <v>553.77971500000001</v>
      </c>
      <c r="V195">
        <v>671</v>
      </c>
      <c r="W195">
        <v>39825.815750000002</v>
      </c>
      <c r="X195">
        <f t="shared" si="14"/>
        <v>1026.1344006549225</v>
      </c>
      <c r="Y195">
        <f t="shared" si="15"/>
        <v>38799.681349345075</v>
      </c>
      <c r="AB195">
        <v>671</v>
      </c>
      <c r="AC195">
        <v>16587.454720000002</v>
      </c>
      <c r="AD195">
        <f t="shared" si="16"/>
        <v>992.71138282345032</v>
      </c>
      <c r="AE195">
        <f t="shared" si="17"/>
        <v>15594.743337176551</v>
      </c>
    </row>
    <row r="196" spans="7:31" x14ac:dyDescent="0.2">
      <c r="G196">
        <v>673</v>
      </c>
      <c r="H196">
        <v>619.66609999999991</v>
      </c>
      <c r="I196">
        <v>1.1647654080538012E-2</v>
      </c>
      <c r="J196">
        <f t="shared" ref="J196:J259" si="18">(H197+H196)/2*(G197-G196)</f>
        <v>540.46552499999996</v>
      </c>
      <c r="V196">
        <v>672</v>
      </c>
      <c r="W196">
        <v>39402.350030000001</v>
      </c>
      <c r="X196">
        <f t="shared" si="14"/>
        <v>1087.8431557633428</v>
      </c>
      <c r="Y196">
        <f t="shared" si="15"/>
        <v>38314.506874236657</v>
      </c>
      <c r="AB196">
        <v>672</v>
      </c>
      <c r="AC196">
        <v>16264.171440000002</v>
      </c>
      <c r="AD196">
        <f t="shared" si="16"/>
        <v>1052.4101743042695</v>
      </c>
      <c r="AE196">
        <f t="shared" si="17"/>
        <v>15211.761265695732</v>
      </c>
    </row>
    <row r="197" spans="7:31" x14ac:dyDescent="0.2">
      <c r="G197">
        <v>674</v>
      </c>
      <c r="H197">
        <v>461.26495000000006</v>
      </c>
      <c r="I197">
        <v>1.0336336987857358E-2</v>
      </c>
      <c r="J197">
        <f t="shared" si="18"/>
        <v>467.3546</v>
      </c>
      <c r="V197">
        <v>673</v>
      </c>
      <c r="W197">
        <v>37665.697169999999</v>
      </c>
      <c r="X197">
        <f t="shared" ref="X197:X260" si="19">I196*MAX(W:W)</f>
        <v>1200.254444233283</v>
      </c>
      <c r="Y197">
        <f t="shared" ref="Y197:Y260" si="20">W197-X197</f>
        <v>36465.442725766719</v>
      </c>
      <c r="AB197">
        <v>673</v>
      </c>
      <c r="AC197">
        <v>15168.187310000001</v>
      </c>
      <c r="AD197">
        <f t="shared" ref="AD197:AD260" si="21">I196*MAX(AC:AC)</f>
        <v>1161.1600276867675</v>
      </c>
      <c r="AE197">
        <f t="shared" ref="AE197:AE260" si="22">AC197-AD197</f>
        <v>14007.027282313233</v>
      </c>
    </row>
    <row r="198" spans="7:31" x14ac:dyDescent="0.2">
      <c r="G198">
        <v>675</v>
      </c>
      <c r="H198">
        <v>473.44425000000001</v>
      </c>
      <c r="I198">
        <v>1.0437162797940715E-2</v>
      </c>
      <c r="J198">
        <f t="shared" si="18"/>
        <v>475.14201000000003</v>
      </c>
      <c r="V198">
        <v>674</v>
      </c>
      <c r="W198">
        <v>36484.104500000001</v>
      </c>
      <c r="X198">
        <f t="shared" si="19"/>
        <v>1065.1273055488621</v>
      </c>
      <c r="Y198">
        <f t="shared" si="20"/>
        <v>35418.977194451138</v>
      </c>
      <c r="AB198">
        <v>674</v>
      </c>
      <c r="AC198">
        <v>15256.057709999999</v>
      </c>
      <c r="AD198">
        <f t="shared" si="21"/>
        <v>1030.4342196300718</v>
      </c>
      <c r="AE198">
        <f t="shared" si="22"/>
        <v>14225.623490369928</v>
      </c>
    </row>
    <row r="199" spans="7:31" x14ac:dyDescent="0.2">
      <c r="G199">
        <v>676</v>
      </c>
      <c r="H199">
        <v>476.83976999999999</v>
      </c>
      <c r="I199">
        <v>1.0465272463902983E-2</v>
      </c>
      <c r="J199">
        <f t="shared" si="18"/>
        <v>503.85355000000004</v>
      </c>
      <c r="V199">
        <v>675</v>
      </c>
      <c r="W199">
        <v>35359.458700000003</v>
      </c>
      <c r="X199">
        <f t="shared" si="19"/>
        <v>1075.5170909776871</v>
      </c>
      <c r="Y199">
        <f t="shared" si="20"/>
        <v>34283.941609022317</v>
      </c>
      <c r="AB199">
        <v>675</v>
      </c>
      <c r="AC199">
        <v>14662.503720000001</v>
      </c>
      <c r="AD199">
        <f t="shared" si="21"/>
        <v>1040.4855913155986</v>
      </c>
      <c r="AE199">
        <f t="shared" si="22"/>
        <v>13622.018128684402</v>
      </c>
    </row>
    <row r="200" spans="7:31" x14ac:dyDescent="0.2">
      <c r="G200">
        <v>677</v>
      </c>
      <c r="H200">
        <v>530.86733000000004</v>
      </c>
      <c r="I200">
        <v>1.0912537290602977E-2</v>
      </c>
      <c r="J200">
        <f t="shared" si="18"/>
        <v>571.89467500000001</v>
      </c>
      <c r="V200">
        <v>676</v>
      </c>
      <c r="W200">
        <v>33691.655769999998</v>
      </c>
      <c r="X200">
        <f t="shared" si="19"/>
        <v>1078.4137044299616</v>
      </c>
      <c r="Y200">
        <f t="shared" si="20"/>
        <v>32613.242065570037</v>
      </c>
      <c r="AB200">
        <v>676</v>
      </c>
      <c r="AC200">
        <v>14095.278260000001</v>
      </c>
      <c r="AD200">
        <f t="shared" si="21"/>
        <v>1043.2878569290281</v>
      </c>
      <c r="AE200">
        <f t="shared" si="22"/>
        <v>13051.990403070973</v>
      </c>
    </row>
    <row r="201" spans="7:31" x14ac:dyDescent="0.2">
      <c r="G201">
        <v>678</v>
      </c>
      <c r="H201">
        <v>612.92201999999997</v>
      </c>
      <c r="I201">
        <v>1.1591823504949353E-2</v>
      </c>
      <c r="J201">
        <f t="shared" si="18"/>
        <v>489.00767999999999</v>
      </c>
      <c r="V201">
        <v>677</v>
      </c>
      <c r="W201">
        <v>32649.371940000001</v>
      </c>
      <c r="X201">
        <f t="shared" si="19"/>
        <v>1124.5029505806424</v>
      </c>
      <c r="Y201">
        <f t="shared" si="20"/>
        <v>31524.868989419359</v>
      </c>
      <c r="AB201">
        <v>677</v>
      </c>
      <c r="AC201">
        <v>13942.35505</v>
      </c>
      <c r="AD201">
        <f t="shared" si="21"/>
        <v>1087.8758945684747</v>
      </c>
      <c r="AE201">
        <f t="shared" si="22"/>
        <v>12854.479155431525</v>
      </c>
    </row>
    <row r="202" spans="7:31" x14ac:dyDescent="0.2">
      <c r="G202">
        <v>679</v>
      </c>
      <c r="H202">
        <v>365.09334000000001</v>
      </c>
      <c r="I202">
        <v>9.5401844597752215E-3</v>
      </c>
      <c r="J202">
        <f t="shared" si="18"/>
        <v>424.12536499999999</v>
      </c>
      <c r="V202">
        <v>678</v>
      </c>
      <c r="W202">
        <v>31299.013600000002</v>
      </c>
      <c r="X202">
        <f t="shared" si="19"/>
        <v>1194.5012774572917</v>
      </c>
      <c r="Y202">
        <f t="shared" si="20"/>
        <v>30104.512322542709</v>
      </c>
      <c r="AB202">
        <v>678</v>
      </c>
      <c r="AC202">
        <v>13386.58466</v>
      </c>
      <c r="AD202">
        <f t="shared" si="21"/>
        <v>1155.5942517590106</v>
      </c>
      <c r="AE202">
        <f t="shared" si="22"/>
        <v>12230.99040824099</v>
      </c>
    </row>
    <row r="203" spans="7:31" x14ac:dyDescent="0.2">
      <c r="G203">
        <v>680</v>
      </c>
      <c r="H203">
        <v>483.15739000000002</v>
      </c>
      <c r="I203">
        <v>1.051757260876343E-2</v>
      </c>
      <c r="J203">
        <f t="shared" si="18"/>
        <v>493.10518500000001</v>
      </c>
      <c r="V203">
        <v>679</v>
      </c>
      <c r="W203">
        <v>30024.391919999998</v>
      </c>
      <c r="X203">
        <f t="shared" si="19"/>
        <v>983.08626934442748</v>
      </c>
      <c r="Y203">
        <f t="shared" si="20"/>
        <v>29041.305650655569</v>
      </c>
      <c r="AB203">
        <v>679</v>
      </c>
      <c r="AC203">
        <v>12311.760689999999</v>
      </c>
      <c r="AD203">
        <f t="shared" si="21"/>
        <v>951.06540551878925</v>
      </c>
      <c r="AE203">
        <f t="shared" si="22"/>
        <v>11360.695284481209</v>
      </c>
    </row>
    <row r="204" spans="7:31" x14ac:dyDescent="0.2">
      <c r="G204">
        <v>681</v>
      </c>
      <c r="H204">
        <v>503.05297999999999</v>
      </c>
      <c r="I204">
        <v>1.0682277393015098E-2</v>
      </c>
      <c r="J204">
        <f t="shared" si="18"/>
        <v>409.08557999999999</v>
      </c>
      <c r="V204">
        <v>680</v>
      </c>
      <c r="W204">
        <v>27894.478159999999</v>
      </c>
      <c r="X204">
        <f t="shared" si="19"/>
        <v>1083.803071324681</v>
      </c>
      <c r="Y204">
        <f t="shared" si="20"/>
        <v>26810.675088675318</v>
      </c>
      <c r="AB204">
        <v>680</v>
      </c>
      <c r="AC204">
        <v>12127.812739999999</v>
      </c>
      <c r="AD204">
        <f t="shared" si="21"/>
        <v>1048.5016825830412</v>
      </c>
      <c r="AE204">
        <f t="shared" si="22"/>
        <v>11079.311057416959</v>
      </c>
    </row>
    <row r="205" spans="7:31" x14ac:dyDescent="0.2">
      <c r="G205">
        <v>682</v>
      </c>
      <c r="H205">
        <v>315.11818</v>
      </c>
      <c r="I205">
        <v>9.1264672518038721E-3</v>
      </c>
      <c r="J205">
        <f t="shared" si="18"/>
        <v>310.36388999999997</v>
      </c>
      <c r="V205">
        <v>681</v>
      </c>
      <c r="W205">
        <v>27517.244069999997</v>
      </c>
      <c r="X205">
        <f t="shared" si="19"/>
        <v>1100.7753859141797</v>
      </c>
      <c r="Y205">
        <f t="shared" si="20"/>
        <v>26416.468684085816</v>
      </c>
      <c r="AB205">
        <v>681</v>
      </c>
      <c r="AC205">
        <v>11201.156150000001</v>
      </c>
      <c r="AD205">
        <f t="shared" si="21"/>
        <v>1064.921178776817</v>
      </c>
      <c r="AE205">
        <f t="shared" si="22"/>
        <v>10136.234971223184</v>
      </c>
    </row>
    <row r="206" spans="7:31" x14ac:dyDescent="0.2">
      <c r="G206">
        <v>683</v>
      </c>
      <c r="H206">
        <v>305.60959999999994</v>
      </c>
      <c r="I206">
        <v>9.0477508821239713E-3</v>
      </c>
      <c r="J206">
        <f t="shared" si="18"/>
        <v>316.10833500000001</v>
      </c>
      <c r="V206">
        <v>682</v>
      </c>
      <c r="W206">
        <v>26152.20649</v>
      </c>
      <c r="X206">
        <f t="shared" si="19"/>
        <v>940.45400072708367</v>
      </c>
      <c r="Y206">
        <f t="shared" si="20"/>
        <v>25211.752489272916</v>
      </c>
      <c r="AB206">
        <v>682</v>
      </c>
      <c r="AC206">
        <v>10397.02594</v>
      </c>
      <c r="AD206">
        <f t="shared" si="21"/>
        <v>909.82174552160677</v>
      </c>
      <c r="AE206">
        <f t="shared" si="22"/>
        <v>9487.2041944783923</v>
      </c>
    </row>
    <row r="207" spans="7:31" x14ac:dyDescent="0.2">
      <c r="G207">
        <v>684</v>
      </c>
      <c r="H207">
        <v>326.60707000000002</v>
      </c>
      <c r="I207">
        <v>9.2215775324611012E-3</v>
      </c>
      <c r="J207">
        <f t="shared" si="18"/>
        <v>375.44956999999999</v>
      </c>
      <c r="V207">
        <v>683</v>
      </c>
      <c r="W207">
        <v>24885.36476</v>
      </c>
      <c r="X207">
        <f t="shared" si="19"/>
        <v>932.34252421096039</v>
      </c>
      <c r="Y207">
        <f t="shared" si="20"/>
        <v>23953.022235789042</v>
      </c>
      <c r="AB207">
        <v>683</v>
      </c>
      <c r="AC207">
        <v>10216.836869999999</v>
      </c>
      <c r="AD207">
        <f t="shared" si="21"/>
        <v>901.97447418568697</v>
      </c>
      <c r="AE207">
        <f t="shared" si="22"/>
        <v>9314.8623958143125</v>
      </c>
    </row>
    <row r="208" spans="7:31" x14ac:dyDescent="0.2">
      <c r="G208">
        <v>685</v>
      </c>
      <c r="H208">
        <v>424.29206999999997</v>
      </c>
      <c r="I208">
        <v>1.0030258594426307E-2</v>
      </c>
      <c r="J208">
        <f t="shared" si="18"/>
        <v>389.94621999999993</v>
      </c>
      <c r="V208">
        <v>684</v>
      </c>
      <c r="W208">
        <v>23616.039420000001</v>
      </c>
      <c r="X208">
        <f t="shared" si="19"/>
        <v>950.25481866533767</v>
      </c>
      <c r="Y208">
        <f t="shared" si="20"/>
        <v>22665.784601334664</v>
      </c>
      <c r="AB208">
        <v>684</v>
      </c>
      <c r="AC208">
        <v>9957.9998599999999</v>
      </c>
      <c r="AD208">
        <f t="shared" si="21"/>
        <v>919.30333343258155</v>
      </c>
      <c r="AE208">
        <f t="shared" si="22"/>
        <v>9038.6965265674189</v>
      </c>
    </row>
    <row r="209" spans="7:31" x14ac:dyDescent="0.2">
      <c r="G209">
        <v>686</v>
      </c>
      <c r="H209">
        <v>355.60036999999994</v>
      </c>
      <c r="I209">
        <v>9.4615973168074782E-3</v>
      </c>
      <c r="J209">
        <f t="shared" si="18"/>
        <v>315.03956499999993</v>
      </c>
      <c r="V209">
        <v>685</v>
      </c>
      <c r="W209">
        <v>22110.654300000002</v>
      </c>
      <c r="X209">
        <f t="shared" si="19"/>
        <v>1033.5868812317249</v>
      </c>
      <c r="Y209">
        <f t="shared" si="20"/>
        <v>21077.067418768278</v>
      </c>
      <c r="AB209">
        <v>685</v>
      </c>
      <c r="AC209">
        <v>9423.6178199999995</v>
      </c>
      <c r="AD209">
        <f t="shared" si="21"/>
        <v>999.92112288687736</v>
      </c>
      <c r="AE209">
        <f t="shared" si="22"/>
        <v>8423.6966971131224</v>
      </c>
    </row>
    <row r="210" spans="7:31" x14ac:dyDescent="0.2">
      <c r="G210">
        <v>687</v>
      </c>
      <c r="H210">
        <v>274.47875999999997</v>
      </c>
      <c r="I210">
        <v>8.7900355650223812E-3</v>
      </c>
      <c r="J210">
        <f t="shared" si="18"/>
        <v>228.00174499999997</v>
      </c>
      <c r="V210">
        <v>686</v>
      </c>
      <c r="W210">
        <v>21059.37746</v>
      </c>
      <c r="X210">
        <f t="shared" si="19"/>
        <v>974.98810923815881</v>
      </c>
      <c r="Y210">
        <f t="shared" si="20"/>
        <v>20084.389350761841</v>
      </c>
      <c r="AB210">
        <v>686</v>
      </c>
      <c r="AC210">
        <v>8906.1625800000002</v>
      </c>
      <c r="AD210">
        <f t="shared" si="21"/>
        <v>943.23101685363122</v>
      </c>
      <c r="AE210">
        <f t="shared" si="22"/>
        <v>7962.9315631463687</v>
      </c>
    </row>
    <row r="211" spans="7:31" x14ac:dyDescent="0.2">
      <c r="G211">
        <v>688</v>
      </c>
      <c r="H211">
        <v>181.52472999999998</v>
      </c>
      <c r="I211">
        <v>8.0205196342822919E-3</v>
      </c>
      <c r="J211">
        <f t="shared" si="18"/>
        <v>261.28237000000001</v>
      </c>
      <c r="V211">
        <v>687</v>
      </c>
      <c r="W211">
        <v>19479.67282</v>
      </c>
      <c r="X211">
        <f t="shared" si="19"/>
        <v>905.78576414929091</v>
      </c>
      <c r="Y211">
        <f t="shared" si="20"/>
        <v>18573.887055850708</v>
      </c>
      <c r="AB211">
        <v>687</v>
      </c>
      <c r="AC211">
        <v>8272.1184599999997</v>
      </c>
      <c r="AD211">
        <f t="shared" si="21"/>
        <v>876.2827149119463</v>
      </c>
      <c r="AE211">
        <f t="shared" si="22"/>
        <v>7395.835745088053</v>
      </c>
    </row>
    <row r="212" spans="7:31" x14ac:dyDescent="0.2">
      <c r="G212">
        <v>689</v>
      </c>
      <c r="H212">
        <v>341.04001</v>
      </c>
      <c r="I212">
        <v>9.3410600041453941E-3</v>
      </c>
      <c r="J212">
        <f t="shared" si="18"/>
        <v>318.46972999999997</v>
      </c>
      <c r="V212">
        <v>688</v>
      </c>
      <c r="W212">
        <v>18865.306570000001</v>
      </c>
      <c r="X212">
        <f t="shared" si="19"/>
        <v>826.48954626775503</v>
      </c>
      <c r="Y212">
        <f t="shared" si="20"/>
        <v>18038.817023732245</v>
      </c>
      <c r="AB212">
        <v>688</v>
      </c>
      <c r="AC212">
        <v>8081.2296299999998</v>
      </c>
      <c r="AD212">
        <f t="shared" si="21"/>
        <v>799.56931552137144</v>
      </c>
      <c r="AE212">
        <f t="shared" si="22"/>
        <v>7281.6603144786286</v>
      </c>
    </row>
    <row r="213" spans="7:31" x14ac:dyDescent="0.2">
      <c r="G213">
        <v>690</v>
      </c>
      <c r="H213">
        <v>295.89944999999994</v>
      </c>
      <c r="I213">
        <v>8.9673658238873799E-3</v>
      </c>
      <c r="J213">
        <f t="shared" si="18"/>
        <v>151.38349999999997</v>
      </c>
      <c r="V213">
        <v>689</v>
      </c>
      <c r="W213">
        <v>18530.880990000001</v>
      </c>
      <c r="X213">
        <f t="shared" si="19"/>
        <v>962.56711491447436</v>
      </c>
      <c r="Y213">
        <f t="shared" si="20"/>
        <v>17568.313875085529</v>
      </c>
      <c r="AB213">
        <v>689</v>
      </c>
      <c r="AC213">
        <v>7780.1231699999998</v>
      </c>
      <c r="AD213">
        <f t="shared" si="21"/>
        <v>931.21459635039378</v>
      </c>
      <c r="AE213">
        <f t="shared" si="22"/>
        <v>6848.9085736496063</v>
      </c>
    </row>
    <row r="214" spans="7:31" x14ac:dyDescent="0.2">
      <c r="G214">
        <v>691</v>
      </c>
      <c r="H214">
        <v>6.8675499999999943</v>
      </c>
      <c r="I214">
        <v>6.5746276979333313E-3</v>
      </c>
      <c r="J214">
        <f t="shared" si="18"/>
        <v>70.773330000000016</v>
      </c>
      <c r="V214">
        <v>690</v>
      </c>
      <c r="W214">
        <v>17369.59978</v>
      </c>
      <c r="X214">
        <f t="shared" si="19"/>
        <v>924.05909454080631</v>
      </c>
      <c r="Y214">
        <f t="shared" si="20"/>
        <v>16445.540685459193</v>
      </c>
      <c r="AB214">
        <v>690</v>
      </c>
      <c r="AC214">
        <v>7183.3563599999998</v>
      </c>
      <c r="AD214">
        <f t="shared" si="21"/>
        <v>893.96085051501461</v>
      </c>
      <c r="AE214">
        <f t="shared" si="22"/>
        <v>6289.3955094849853</v>
      </c>
    </row>
    <row r="215" spans="7:31" x14ac:dyDescent="0.2">
      <c r="G215">
        <v>692</v>
      </c>
      <c r="H215">
        <v>134.67911000000004</v>
      </c>
      <c r="I215">
        <v>7.6327101883077973E-3</v>
      </c>
      <c r="J215">
        <f t="shared" si="18"/>
        <v>153.112255</v>
      </c>
      <c r="V215">
        <v>691</v>
      </c>
      <c r="W215">
        <v>16439.835300000002</v>
      </c>
      <c r="X215">
        <f t="shared" si="19"/>
        <v>677.49488944809218</v>
      </c>
      <c r="Y215">
        <f t="shared" si="20"/>
        <v>15762.340410551911</v>
      </c>
      <c r="AB215">
        <v>691</v>
      </c>
      <c r="AC215">
        <v>6617.3105000000005</v>
      </c>
      <c r="AD215">
        <f t="shared" si="21"/>
        <v>655.42767899661283</v>
      </c>
      <c r="AE215">
        <f t="shared" si="22"/>
        <v>5961.882821003388</v>
      </c>
    </row>
    <row r="216" spans="7:31" x14ac:dyDescent="0.2">
      <c r="G216">
        <v>693</v>
      </c>
      <c r="H216">
        <v>171.54539999999997</v>
      </c>
      <c r="I216">
        <v>7.9379061810182158E-3</v>
      </c>
      <c r="J216">
        <f t="shared" si="18"/>
        <v>151.47422</v>
      </c>
      <c r="V216">
        <v>692</v>
      </c>
      <c r="W216">
        <v>15481.980579999999</v>
      </c>
      <c r="X216">
        <f t="shared" si="19"/>
        <v>786.52699176295687</v>
      </c>
      <c r="Y216">
        <f t="shared" si="20"/>
        <v>14695.453588237042</v>
      </c>
      <c r="AB216">
        <v>692</v>
      </c>
      <c r="AC216">
        <v>6300.4660299999996</v>
      </c>
      <c r="AD216">
        <f t="shared" si="21"/>
        <v>760.90841231191303</v>
      </c>
      <c r="AE216">
        <f t="shared" si="22"/>
        <v>5539.5576176880868</v>
      </c>
    </row>
    <row r="217" spans="7:31" x14ac:dyDescent="0.2">
      <c r="G217">
        <v>694</v>
      </c>
      <c r="H217">
        <v>131.40304000000003</v>
      </c>
      <c r="I217">
        <v>7.6055893840218545E-3</v>
      </c>
      <c r="J217">
        <f t="shared" si="18"/>
        <v>156.53449999999998</v>
      </c>
      <c r="V217">
        <v>693</v>
      </c>
      <c r="W217">
        <v>15062.600909999999</v>
      </c>
      <c r="X217">
        <f t="shared" si="19"/>
        <v>817.97648743650529</v>
      </c>
      <c r="Y217">
        <f t="shared" si="20"/>
        <v>14244.624422563495</v>
      </c>
      <c r="AB217">
        <v>693</v>
      </c>
      <c r="AC217">
        <v>6925.8737599999995</v>
      </c>
      <c r="AD217">
        <f t="shared" si="21"/>
        <v>791.33354211875144</v>
      </c>
      <c r="AE217">
        <f t="shared" si="22"/>
        <v>6134.5402178812483</v>
      </c>
    </row>
    <row r="218" spans="7:31" x14ac:dyDescent="0.2">
      <c r="G218">
        <v>695</v>
      </c>
      <c r="H218">
        <v>181.66595999999993</v>
      </c>
      <c r="I218">
        <v>8.0216888007498283E-3</v>
      </c>
      <c r="J218">
        <f t="shared" si="18"/>
        <v>74.005444999999952</v>
      </c>
      <c r="V218">
        <v>694</v>
      </c>
      <c r="W218">
        <v>14125.430330000001</v>
      </c>
      <c r="X218">
        <f t="shared" si="19"/>
        <v>783.73227742388883</v>
      </c>
      <c r="Y218">
        <f t="shared" si="20"/>
        <v>13341.698052576112</v>
      </c>
      <c r="AB218">
        <v>694</v>
      </c>
      <c r="AC218">
        <v>5830.6761600000009</v>
      </c>
      <c r="AD218">
        <f t="shared" si="21"/>
        <v>758.20472677679982</v>
      </c>
      <c r="AE218">
        <f t="shared" si="22"/>
        <v>5072.4714332232015</v>
      </c>
    </row>
    <row r="219" spans="7:31" x14ac:dyDescent="0.2">
      <c r="G219">
        <v>696</v>
      </c>
      <c r="H219">
        <v>-33.655070000000023</v>
      </c>
      <c r="I219">
        <v>6.2391629349173878E-3</v>
      </c>
      <c r="J219">
        <f t="shared" si="18"/>
        <v>32.262374999999963</v>
      </c>
      <c r="V219">
        <v>695</v>
      </c>
      <c r="W219">
        <v>13733.805579999998</v>
      </c>
      <c r="X219">
        <f t="shared" si="19"/>
        <v>826.61002522763874</v>
      </c>
      <c r="Y219">
        <f t="shared" si="20"/>
        <v>12907.195554772359</v>
      </c>
      <c r="AB219">
        <v>695</v>
      </c>
      <c r="AC219">
        <v>5590.1941500000003</v>
      </c>
      <c r="AD219">
        <f t="shared" si="21"/>
        <v>799.68587026779755</v>
      </c>
      <c r="AE219">
        <f t="shared" si="22"/>
        <v>4790.5082797322029</v>
      </c>
    </row>
    <row r="220" spans="7:31" x14ac:dyDescent="0.2">
      <c r="G220">
        <v>697</v>
      </c>
      <c r="H220">
        <v>98.17981999999995</v>
      </c>
      <c r="I220">
        <v>7.3305523892785085E-3</v>
      </c>
      <c r="J220">
        <f t="shared" si="18"/>
        <v>93.44425499999997</v>
      </c>
      <c r="V220">
        <v>696</v>
      </c>
      <c r="W220">
        <v>13438.659629999998</v>
      </c>
      <c r="X220">
        <f t="shared" si="19"/>
        <v>642.92629135018626</v>
      </c>
      <c r="Y220">
        <f t="shared" si="20"/>
        <v>12795.733338649812</v>
      </c>
      <c r="AB220">
        <v>696</v>
      </c>
      <c r="AC220">
        <v>5639.7872600000001</v>
      </c>
      <c r="AD220">
        <f t="shared" si="21"/>
        <v>621.98504146478672</v>
      </c>
      <c r="AE220">
        <f t="shared" si="22"/>
        <v>5017.8022185352129</v>
      </c>
    </row>
    <row r="221" spans="7:31" x14ac:dyDescent="0.2">
      <c r="G221">
        <v>698</v>
      </c>
      <c r="H221">
        <v>88.70868999999999</v>
      </c>
      <c r="I221">
        <v>7.2521460478093937E-3</v>
      </c>
      <c r="J221">
        <f t="shared" si="18"/>
        <v>216.23981499999996</v>
      </c>
      <c r="V221">
        <v>697</v>
      </c>
      <c r="W221">
        <v>12503.400880000001</v>
      </c>
      <c r="X221">
        <f t="shared" si="19"/>
        <v>755.39057247740925</v>
      </c>
      <c r="Y221">
        <f t="shared" si="20"/>
        <v>11748.010307522592</v>
      </c>
      <c r="AB221">
        <v>697</v>
      </c>
      <c r="AC221">
        <v>5216.2538699999996</v>
      </c>
      <c r="AD221">
        <f t="shared" si="21"/>
        <v>730.78616143970862</v>
      </c>
      <c r="AE221">
        <f t="shared" si="22"/>
        <v>4485.4677085602907</v>
      </c>
    </row>
    <row r="222" spans="7:31" x14ac:dyDescent="0.2">
      <c r="G222">
        <v>699</v>
      </c>
      <c r="H222">
        <v>343.77093999999994</v>
      </c>
      <c r="I222">
        <v>9.3636678904386074E-3</v>
      </c>
      <c r="J222">
        <f t="shared" si="18"/>
        <v>248.25710999999995</v>
      </c>
      <c r="V222">
        <v>698</v>
      </c>
      <c r="W222">
        <v>12703.662750000001</v>
      </c>
      <c r="X222">
        <f t="shared" si="19"/>
        <v>747.31104340196907</v>
      </c>
      <c r="Y222">
        <f t="shared" si="20"/>
        <v>11956.351706598032</v>
      </c>
      <c r="AB222">
        <v>698</v>
      </c>
      <c r="AC222">
        <v>4850.1764899999998</v>
      </c>
      <c r="AD222">
        <f t="shared" si="21"/>
        <v>722.96979695965263</v>
      </c>
      <c r="AE222">
        <f t="shared" si="22"/>
        <v>4127.2066930403471</v>
      </c>
    </row>
    <row r="223" spans="7:31" x14ac:dyDescent="0.2">
      <c r="G223">
        <v>700</v>
      </c>
      <c r="H223">
        <v>152.74327999999997</v>
      </c>
      <c r="I223">
        <v>7.782253641029504E-3</v>
      </c>
      <c r="J223">
        <f t="shared" si="18"/>
        <v>97.45969999999997</v>
      </c>
      <c r="V223">
        <v>699</v>
      </c>
      <c r="W223">
        <v>11752.182220000001</v>
      </c>
      <c r="X223">
        <f t="shared" si="19"/>
        <v>964.89678712233035</v>
      </c>
      <c r="Y223">
        <f t="shared" si="20"/>
        <v>10787.28543287767</v>
      </c>
      <c r="AB223">
        <v>699</v>
      </c>
      <c r="AC223">
        <v>5163.1313399999999</v>
      </c>
      <c r="AD223">
        <f t="shared" si="21"/>
        <v>933.46838700151125</v>
      </c>
      <c r="AE223">
        <f t="shared" si="22"/>
        <v>4229.6629529984884</v>
      </c>
    </row>
    <row r="224" spans="7:31" x14ac:dyDescent="0.2">
      <c r="G224">
        <v>701</v>
      </c>
      <c r="H224">
        <v>42.176119999999969</v>
      </c>
      <c r="I224">
        <v>6.8669281727664466E-3</v>
      </c>
      <c r="J224">
        <f t="shared" si="18"/>
        <v>37.102010000000007</v>
      </c>
      <c r="V224">
        <v>700</v>
      </c>
      <c r="W224">
        <v>11504.03017</v>
      </c>
      <c r="X224">
        <f t="shared" si="19"/>
        <v>801.93697840010532</v>
      </c>
      <c r="Y224">
        <f t="shared" si="20"/>
        <v>10702.093191599895</v>
      </c>
      <c r="AB224">
        <v>700</v>
      </c>
      <c r="AC224">
        <v>4897.5020199999999</v>
      </c>
      <c r="AD224">
        <f t="shared" si="21"/>
        <v>775.81646834637684</v>
      </c>
      <c r="AE224">
        <f t="shared" si="22"/>
        <v>4121.6855516536234</v>
      </c>
    </row>
    <row r="225" spans="7:31" x14ac:dyDescent="0.2">
      <c r="G225">
        <v>702</v>
      </c>
      <c r="H225">
        <v>32.027900000000045</v>
      </c>
      <c r="I225">
        <v>6.7829165709170688E-3</v>
      </c>
      <c r="J225">
        <f t="shared" si="18"/>
        <v>89.693100000000015</v>
      </c>
      <c r="V225">
        <v>701</v>
      </c>
      <c r="W225">
        <v>11031.9732</v>
      </c>
      <c r="X225">
        <f t="shared" si="19"/>
        <v>707.61554220306652</v>
      </c>
      <c r="Y225">
        <f t="shared" si="20"/>
        <v>10324.357657796934</v>
      </c>
      <c r="AB225">
        <v>701</v>
      </c>
      <c r="AC225">
        <v>4337.2713100000001</v>
      </c>
      <c r="AD225">
        <f t="shared" si="21"/>
        <v>684.56724865615388</v>
      </c>
      <c r="AE225">
        <f t="shared" si="22"/>
        <v>3652.7040613438462</v>
      </c>
    </row>
    <row r="226" spans="7:31" x14ac:dyDescent="0.2">
      <c r="G226">
        <v>703</v>
      </c>
      <c r="H226">
        <v>147.35829999999999</v>
      </c>
      <c r="I226">
        <v>7.7376743162093035E-3</v>
      </c>
      <c r="J226">
        <f t="shared" si="18"/>
        <v>204.46965499999996</v>
      </c>
      <c r="V226">
        <v>702</v>
      </c>
      <c r="W226">
        <v>10718.12249</v>
      </c>
      <c r="X226">
        <f t="shared" si="19"/>
        <v>698.95840851849414</v>
      </c>
      <c r="Y226">
        <f t="shared" si="20"/>
        <v>10019.164081481505</v>
      </c>
      <c r="AB226">
        <v>702</v>
      </c>
      <c r="AC226">
        <v>4208.48027</v>
      </c>
      <c r="AD226">
        <f t="shared" si="21"/>
        <v>676.19209317377818</v>
      </c>
      <c r="AE226">
        <f t="shared" si="22"/>
        <v>3532.2881768262218</v>
      </c>
    </row>
    <row r="227" spans="7:31" x14ac:dyDescent="0.2">
      <c r="G227">
        <v>704</v>
      </c>
      <c r="H227">
        <v>261.58100999999994</v>
      </c>
      <c r="I227">
        <v>8.683262097581506E-3</v>
      </c>
      <c r="J227">
        <f t="shared" si="18"/>
        <v>284.04659999999996</v>
      </c>
      <c r="V227">
        <v>703</v>
      </c>
      <c r="W227">
        <v>10360.71182</v>
      </c>
      <c r="X227">
        <f t="shared" si="19"/>
        <v>797.34321794272978</v>
      </c>
      <c r="Y227">
        <f t="shared" si="20"/>
        <v>9563.3686020572713</v>
      </c>
      <c r="AB227">
        <v>703</v>
      </c>
      <c r="AC227">
        <v>4145.57384</v>
      </c>
      <c r="AD227">
        <f t="shared" si="21"/>
        <v>771.37233481660678</v>
      </c>
      <c r="AE227">
        <f t="shared" si="22"/>
        <v>3374.2015051833932</v>
      </c>
    </row>
    <row r="228" spans="7:31" x14ac:dyDescent="0.2">
      <c r="G228">
        <v>705</v>
      </c>
      <c r="H228">
        <v>306.51218999999998</v>
      </c>
      <c r="I228">
        <v>9.0552229345344654E-3</v>
      </c>
      <c r="J228">
        <f t="shared" si="18"/>
        <v>183.09312500000001</v>
      </c>
      <c r="V228">
        <v>704</v>
      </c>
      <c r="W228">
        <v>10309.448179999999</v>
      </c>
      <c r="X228">
        <f t="shared" si="19"/>
        <v>894.78309117016795</v>
      </c>
      <c r="Y228">
        <f t="shared" si="20"/>
        <v>9414.6650888298318</v>
      </c>
      <c r="AB228">
        <v>704</v>
      </c>
      <c r="AC228">
        <v>4292.3681400000005</v>
      </c>
      <c r="AD228">
        <f t="shared" si="21"/>
        <v>865.63841851092093</v>
      </c>
      <c r="AE228">
        <f t="shared" si="22"/>
        <v>3426.7297214890796</v>
      </c>
    </row>
    <row r="229" spans="7:31" x14ac:dyDescent="0.2">
      <c r="G229">
        <v>706</v>
      </c>
      <c r="H229">
        <v>59.674060000000054</v>
      </c>
      <c r="I229">
        <v>7.0117841148394722E-3</v>
      </c>
      <c r="J229">
        <f t="shared" si="18"/>
        <v>-8.8655299999999784</v>
      </c>
      <c r="V229">
        <v>705</v>
      </c>
      <c r="W229">
        <v>9731.3454399999991</v>
      </c>
      <c r="X229">
        <f t="shared" si="19"/>
        <v>933.11249591953174</v>
      </c>
      <c r="Y229">
        <f t="shared" si="20"/>
        <v>8798.2329440804679</v>
      </c>
      <c r="AB229">
        <v>705</v>
      </c>
      <c r="AC229">
        <v>4241.8113000000003</v>
      </c>
      <c r="AD229">
        <f t="shared" si="21"/>
        <v>902.71936654975048</v>
      </c>
      <c r="AE229">
        <f t="shared" si="22"/>
        <v>3339.0919334502496</v>
      </c>
    </row>
    <row r="230" spans="7:31" x14ac:dyDescent="0.2">
      <c r="G230">
        <v>707</v>
      </c>
      <c r="H230">
        <v>-77.405120000000011</v>
      </c>
      <c r="I230">
        <v>5.8769800317589622E-3</v>
      </c>
      <c r="J230">
        <f t="shared" si="18"/>
        <v>38.623249999999985</v>
      </c>
      <c r="V230">
        <v>706</v>
      </c>
      <c r="W230">
        <v>9389.4318199999998</v>
      </c>
      <c r="X230">
        <f t="shared" si="19"/>
        <v>722.54249548005782</v>
      </c>
      <c r="Y230">
        <f t="shared" si="20"/>
        <v>8666.8893245199415</v>
      </c>
      <c r="AB230">
        <v>706</v>
      </c>
      <c r="AC230">
        <v>3896.9724499999998</v>
      </c>
      <c r="AD230">
        <f t="shared" si="21"/>
        <v>699.00800458392075</v>
      </c>
      <c r="AE230">
        <f t="shared" si="22"/>
        <v>3197.9644454160789</v>
      </c>
    </row>
    <row r="231" spans="7:31" x14ac:dyDescent="0.2">
      <c r="G231">
        <v>708</v>
      </c>
      <c r="H231">
        <v>154.65161999999998</v>
      </c>
      <c r="I231">
        <v>7.7980517514639695E-3</v>
      </c>
      <c r="J231">
        <f t="shared" si="18"/>
        <v>292.91889000000003</v>
      </c>
      <c r="V231">
        <v>707</v>
      </c>
      <c r="W231">
        <v>8977.1048900000005</v>
      </c>
      <c r="X231">
        <f t="shared" si="19"/>
        <v>605.60447219798721</v>
      </c>
      <c r="Y231">
        <f t="shared" si="20"/>
        <v>8371.5004178020135</v>
      </c>
      <c r="AB231">
        <v>707</v>
      </c>
      <c r="AC231">
        <v>3506.5228999999999</v>
      </c>
      <c r="AD231">
        <f t="shared" si="21"/>
        <v>585.87886017272638</v>
      </c>
      <c r="AE231">
        <f t="shared" si="22"/>
        <v>2920.6440398272734</v>
      </c>
    </row>
    <row r="232" spans="7:31" x14ac:dyDescent="0.2">
      <c r="G232">
        <v>709</v>
      </c>
      <c r="H232">
        <v>431.18616000000003</v>
      </c>
      <c r="I232">
        <v>1.0087331021334059E-2</v>
      </c>
      <c r="J232">
        <f t="shared" si="18"/>
        <v>126.30302000000003</v>
      </c>
      <c r="V232">
        <v>708</v>
      </c>
      <c r="W232">
        <v>9141.8547299999991</v>
      </c>
      <c r="X232">
        <f t="shared" si="19"/>
        <v>803.56492443355933</v>
      </c>
      <c r="Y232">
        <f t="shared" si="20"/>
        <v>8338.2898055664391</v>
      </c>
      <c r="AB232">
        <v>708</v>
      </c>
      <c r="AC232">
        <v>3893.41345</v>
      </c>
      <c r="AD232">
        <f t="shared" si="21"/>
        <v>777.39138928948194</v>
      </c>
      <c r="AE232">
        <f t="shared" si="22"/>
        <v>3116.022060710518</v>
      </c>
    </row>
    <row r="233" spans="7:31" x14ac:dyDescent="0.2">
      <c r="G233">
        <v>710</v>
      </c>
      <c r="H233">
        <v>-178.58011999999997</v>
      </c>
      <c r="I233">
        <v>5.0394071552238781E-3</v>
      </c>
      <c r="J233">
        <f t="shared" si="18"/>
        <v>-104.41633499999995</v>
      </c>
      <c r="V233">
        <v>709</v>
      </c>
      <c r="W233">
        <v>9138.4385399999992</v>
      </c>
      <c r="X233">
        <f t="shared" si="19"/>
        <v>1039.4680169149754</v>
      </c>
      <c r="Y233">
        <f t="shared" si="20"/>
        <v>8098.9705230850241</v>
      </c>
      <c r="AB233">
        <v>709</v>
      </c>
      <c r="AC233">
        <v>3734.8364999999999</v>
      </c>
      <c r="AD233">
        <f t="shared" si="21"/>
        <v>1005.6106995475619</v>
      </c>
      <c r="AE233">
        <f t="shared" si="22"/>
        <v>2729.2258004524379</v>
      </c>
    </row>
    <row r="234" spans="7:31" x14ac:dyDescent="0.2">
      <c r="G234">
        <v>711</v>
      </c>
      <c r="H234">
        <v>-30.252549999999928</v>
      </c>
      <c r="I234">
        <v>6.2673305500779344E-3</v>
      </c>
      <c r="J234">
        <f t="shared" si="18"/>
        <v>-47.724474999999927</v>
      </c>
      <c r="V234">
        <v>710</v>
      </c>
      <c r="W234">
        <v>8448.3696199999995</v>
      </c>
      <c r="X234">
        <f t="shared" si="19"/>
        <v>519.29519820347195</v>
      </c>
      <c r="Y234">
        <f t="shared" si="20"/>
        <v>7929.0744217965275</v>
      </c>
      <c r="AB234">
        <v>710</v>
      </c>
      <c r="AC234">
        <v>3410.1816900000003</v>
      </c>
      <c r="AD234">
        <f t="shared" si="21"/>
        <v>502.38083234820493</v>
      </c>
      <c r="AE234">
        <f t="shared" si="22"/>
        <v>2907.8008576517955</v>
      </c>
    </row>
    <row r="235" spans="7:31" x14ac:dyDescent="0.2">
      <c r="G235">
        <v>712</v>
      </c>
      <c r="H235">
        <v>-65.196399999999926</v>
      </c>
      <c r="I235">
        <v>5.9780493940442252E-3</v>
      </c>
      <c r="J235">
        <f t="shared" si="18"/>
        <v>1.2145950000000312</v>
      </c>
      <c r="V235">
        <v>711</v>
      </c>
      <c r="W235">
        <v>8864.0692400000007</v>
      </c>
      <c r="X235">
        <f t="shared" si="19"/>
        <v>645.82887628670062</v>
      </c>
      <c r="Y235">
        <f t="shared" si="20"/>
        <v>8218.2403637132993</v>
      </c>
      <c r="AB235">
        <v>711</v>
      </c>
      <c r="AC235">
        <v>3469.5201900000002</v>
      </c>
      <c r="AD235">
        <f t="shared" si="21"/>
        <v>624.79308406062069</v>
      </c>
      <c r="AE235">
        <f t="shared" si="22"/>
        <v>2844.7271059393797</v>
      </c>
    </row>
    <row r="236" spans="7:31" x14ac:dyDescent="0.2">
      <c r="G236">
        <v>713</v>
      </c>
      <c r="H236">
        <v>67.625589999999988</v>
      </c>
      <c r="I236">
        <v>7.0776105132081893E-3</v>
      </c>
      <c r="J236">
        <f t="shared" si="18"/>
        <v>-66.022744999999986</v>
      </c>
      <c r="V236">
        <v>712</v>
      </c>
      <c r="W236">
        <v>8986.40625</v>
      </c>
      <c r="X236">
        <f t="shared" si="19"/>
        <v>616.01935492200334</v>
      </c>
      <c r="Y236">
        <f t="shared" si="20"/>
        <v>8370.3868950779961</v>
      </c>
      <c r="AB236">
        <v>712</v>
      </c>
      <c r="AC236">
        <v>3402.80123</v>
      </c>
      <c r="AD236">
        <f t="shared" si="21"/>
        <v>595.95451169001626</v>
      </c>
      <c r="AE236">
        <f t="shared" si="22"/>
        <v>2806.8467183099838</v>
      </c>
    </row>
    <row r="237" spans="7:31" x14ac:dyDescent="0.2">
      <c r="G237">
        <v>714</v>
      </c>
      <c r="H237">
        <v>-199.67107999999996</v>
      </c>
      <c r="I237">
        <v>4.8648065519514647E-3</v>
      </c>
      <c r="J237">
        <f t="shared" si="18"/>
        <v>-26.156709999999975</v>
      </c>
      <c r="V237">
        <v>713</v>
      </c>
      <c r="W237">
        <v>8679.9384500000015</v>
      </c>
      <c r="X237">
        <f t="shared" si="19"/>
        <v>729.32570063395553</v>
      </c>
      <c r="Y237">
        <f t="shared" si="20"/>
        <v>7950.612749366046</v>
      </c>
      <c r="AB237">
        <v>713</v>
      </c>
      <c r="AC237">
        <v>3808.3126099999999</v>
      </c>
      <c r="AD237">
        <f t="shared" si="21"/>
        <v>705.57026871228754</v>
      </c>
      <c r="AE237">
        <f t="shared" si="22"/>
        <v>3102.7423412877124</v>
      </c>
    </row>
    <row r="238" spans="7:31" x14ac:dyDescent="0.2">
      <c r="G238">
        <v>715</v>
      </c>
      <c r="H238">
        <v>147.35766000000001</v>
      </c>
      <c r="I238">
        <v>7.7376690179968895E-3</v>
      </c>
      <c r="J238">
        <f t="shared" si="18"/>
        <v>251.35555499999998</v>
      </c>
      <c r="V238">
        <v>714</v>
      </c>
      <c r="W238">
        <v>8366.0050800000008</v>
      </c>
      <c r="X238">
        <f t="shared" si="19"/>
        <v>501.30315031172631</v>
      </c>
      <c r="Y238">
        <f t="shared" si="20"/>
        <v>7864.7019296882745</v>
      </c>
      <c r="AB238">
        <v>714</v>
      </c>
      <c r="AC238">
        <v>3355.2956800000002</v>
      </c>
      <c r="AD238">
        <f t="shared" si="21"/>
        <v>484.97481737488278</v>
      </c>
      <c r="AE238">
        <f t="shared" si="22"/>
        <v>2870.3208626251176</v>
      </c>
    </row>
    <row r="239" spans="7:31" x14ac:dyDescent="0.2">
      <c r="G239">
        <v>716</v>
      </c>
      <c r="H239">
        <v>355.35344999999995</v>
      </c>
      <c r="I239">
        <v>9.4595532002305152E-3</v>
      </c>
      <c r="J239">
        <f t="shared" si="18"/>
        <v>171.62914999999998</v>
      </c>
      <c r="V239">
        <v>715</v>
      </c>
      <c r="W239">
        <v>8384.923499999999</v>
      </c>
      <c r="X239">
        <f t="shared" si="19"/>
        <v>797.34267197845645</v>
      </c>
      <c r="Y239">
        <f t="shared" si="20"/>
        <v>7587.5808280215424</v>
      </c>
      <c r="AB239">
        <v>715</v>
      </c>
      <c r="AC239">
        <v>3718.4055700000004</v>
      </c>
      <c r="AD239">
        <f t="shared" si="21"/>
        <v>771.37180663535844</v>
      </c>
      <c r="AE239">
        <f t="shared" si="22"/>
        <v>2947.0337633646418</v>
      </c>
    </row>
    <row r="240" spans="7:31" x14ac:dyDescent="0.2">
      <c r="G240">
        <v>717</v>
      </c>
      <c r="H240">
        <v>-12.09514999999999</v>
      </c>
      <c r="I240">
        <v>6.4176458033361307E-3</v>
      </c>
      <c r="J240">
        <f t="shared" si="18"/>
        <v>72.258739999999989</v>
      </c>
      <c r="V240">
        <v>716</v>
      </c>
      <c r="W240">
        <v>8542.1002100000005</v>
      </c>
      <c r="X240">
        <f t="shared" si="19"/>
        <v>974.77746939694566</v>
      </c>
      <c r="Y240">
        <f t="shared" si="20"/>
        <v>7567.3227406030546</v>
      </c>
      <c r="AB240">
        <v>716</v>
      </c>
      <c r="AC240">
        <v>3609.3854299999998</v>
      </c>
      <c r="AD240">
        <f t="shared" si="21"/>
        <v>943.02723792572954</v>
      </c>
      <c r="AE240">
        <f t="shared" si="22"/>
        <v>2666.3581920742704</v>
      </c>
    </row>
    <row r="241" spans="7:31" x14ac:dyDescent="0.2">
      <c r="G241">
        <v>718</v>
      </c>
      <c r="H241">
        <v>156.61262999999997</v>
      </c>
      <c r="I241">
        <v>7.8142858882231884E-3</v>
      </c>
      <c r="J241">
        <f t="shared" si="18"/>
        <v>68.862154999999973</v>
      </c>
      <c r="V241">
        <v>717</v>
      </c>
      <c r="W241">
        <v>8276.3437099999992</v>
      </c>
      <c r="X241">
        <f t="shared" si="19"/>
        <v>661.31839456323132</v>
      </c>
      <c r="Y241">
        <f t="shared" si="20"/>
        <v>7615.0253154367674</v>
      </c>
      <c r="AB241">
        <v>717</v>
      </c>
      <c r="AC241">
        <v>3173.9001399999997</v>
      </c>
      <c r="AD241">
        <f t="shared" si="21"/>
        <v>639.77808124787987</v>
      </c>
      <c r="AE241">
        <f t="shared" si="22"/>
        <v>2534.1220587521198</v>
      </c>
    </row>
    <row r="242" spans="7:31" x14ac:dyDescent="0.2">
      <c r="G242">
        <v>719</v>
      </c>
      <c r="H242">
        <v>-18.888320000000022</v>
      </c>
      <c r="I242">
        <v>6.3614088382984053E-3</v>
      </c>
      <c r="J242">
        <f t="shared" si="18"/>
        <v>-58.011625000000038</v>
      </c>
      <c r="V242">
        <v>718</v>
      </c>
      <c r="W242">
        <v>8142.5977499999999</v>
      </c>
      <c r="X242">
        <f t="shared" si="19"/>
        <v>805.23780162057164</v>
      </c>
      <c r="Y242">
        <f t="shared" si="20"/>
        <v>7337.3599483794278</v>
      </c>
      <c r="AB242">
        <v>718</v>
      </c>
      <c r="AC242">
        <v>3531.8515699999998</v>
      </c>
      <c r="AD242">
        <f t="shared" si="21"/>
        <v>779.00977789876436</v>
      </c>
      <c r="AE242">
        <f t="shared" si="22"/>
        <v>2752.8417921012356</v>
      </c>
    </row>
    <row r="243" spans="7:31" x14ac:dyDescent="0.2">
      <c r="G243">
        <v>720</v>
      </c>
      <c r="H243">
        <v>-97.134930000000054</v>
      </c>
      <c r="I243">
        <v>5.713647650091646E-3</v>
      </c>
      <c r="J243">
        <f t="shared" si="18"/>
        <v>-97.020710000000008</v>
      </c>
      <c r="V243">
        <v>719</v>
      </c>
      <c r="W243">
        <v>8185.6481899999999</v>
      </c>
      <c r="X243">
        <f t="shared" si="19"/>
        <v>655.52335062133545</v>
      </c>
      <c r="Y243">
        <f t="shared" si="20"/>
        <v>7530.1248393786645</v>
      </c>
      <c r="AB243">
        <v>719</v>
      </c>
      <c r="AC243">
        <v>3447.51748</v>
      </c>
      <c r="AD243">
        <f t="shared" si="21"/>
        <v>634.17179216780369</v>
      </c>
      <c r="AE243">
        <f t="shared" si="22"/>
        <v>2813.3456878321963</v>
      </c>
    </row>
    <row r="244" spans="7:31" x14ac:dyDescent="0.2">
      <c r="G244">
        <v>721</v>
      </c>
      <c r="H244">
        <v>-96.906489999999962</v>
      </c>
      <c r="I244">
        <v>5.7155387807851545E-3</v>
      </c>
      <c r="J244">
        <f t="shared" si="18"/>
        <v>153.72418000000002</v>
      </c>
      <c r="V244">
        <v>720</v>
      </c>
      <c r="W244">
        <v>7790.8892100000003</v>
      </c>
      <c r="X244">
        <f t="shared" si="19"/>
        <v>588.77357941667037</v>
      </c>
      <c r="Y244">
        <f t="shared" si="20"/>
        <v>7202.1156305833301</v>
      </c>
      <c r="AB244">
        <v>720</v>
      </c>
      <c r="AC244">
        <v>3153.6160599999998</v>
      </c>
      <c r="AD244">
        <f t="shared" si="21"/>
        <v>569.59617942795217</v>
      </c>
      <c r="AE244">
        <f t="shared" si="22"/>
        <v>2584.0198805720474</v>
      </c>
    </row>
    <row r="245" spans="7:31" x14ac:dyDescent="0.2">
      <c r="G245">
        <v>722</v>
      </c>
      <c r="H245">
        <v>404.35485</v>
      </c>
      <c r="I245">
        <v>9.8652091780140234E-3</v>
      </c>
      <c r="J245">
        <f t="shared" si="18"/>
        <v>204.86558500000004</v>
      </c>
      <c r="V245">
        <v>721</v>
      </c>
      <c r="W245">
        <v>7295.1878199999992</v>
      </c>
      <c r="X245">
        <f t="shared" si="19"/>
        <v>588.96845453949038</v>
      </c>
      <c r="Y245">
        <f t="shared" si="20"/>
        <v>6706.2193654605089</v>
      </c>
      <c r="AB245">
        <v>721</v>
      </c>
      <c r="AC245">
        <v>3363.08331</v>
      </c>
      <c r="AD245">
        <f t="shared" si="21"/>
        <v>569.78470712230592</v>
      </c>
      <c r="AE245">
        <f t="shared" si="22"/>
        <v>2793.2986028776941</v>
      </c>
    </row>
    <row r="246" spans="7:31" x14ac:dyDescent="0.2">
      <c r="G246">
        <v>723</v>
      </c>
      <c r="H246">
        <v>5.3763200000000779</v>
      </c>
      <c r="I246">
        <v>6.5622826146550977E-3</v>
      </c>
      <c r="J246">
        <f t="shared" si="18"/>
        <v>-68.751524999999958</v>
      </c>
      <c r="V246">
        <v>722</v>
      </c>
      <c r="W246">
        <v>7947.3445199999996</v>
      </c>
      <c r="X246">
        <f t="shared" si="19"/>
        <v>1016.5790533723829</v>
      </c>
      <c r="Y246">
        <f t="shared" si="20"/>
        <v>6930.7654666276167</v>
      </c>
      <c r="AB246">
        <v>722</v>
      </c>
      <c r="AC246">
        <v>3388.3108700000003</v>
      </c>
      <c r="AD246">
        <f t="shared" si="21"/>
        <v>983.46727015345891</v>
      </c>
      <c r="AE246">
        <f t="shared" si="22"/>
        <v>2404.8435998465411</v>
      </c>
    </row>
    <row r="247" spans="7:31" x14ac:dyDescent="0.2">
      <c r="G247">
        <v>724</v>
      </c>
      <c r="H247">
        <v>-142.87936999999999</v>
      </c>
      <c r="I247">
        <v>5.3349542752827847E-3</v>
      </c>
      <c r="J247">
        <f t="shared" si="18"/>
        <v>-60.948984999999993</v>
      </c>
      <c r="V247">
        <v>723</v>
      </c>
      <c r="W247">
        <v>7793.5145400000001</v>
      </c>
      <c r="X247">
        <f t="shared" si="19"/>
        <v>676.22276709910443</v>
      </c>
      <c r="Y247">
        <f t="shared" si="20"/>
        <v>7117.2917729008959</v>
      </c>
      <c r="AB247">
        <v>723</v>
      </c>
      <c r="AC247">
        <v>2951.9336800000001</v>
      </c>
      <c r="AD247">
        <f t="shared" si="21"/>
        <v>654.19699192932592</v>
      </c>
      <c r="AE247">
        <f t="shared" si="22"/>
        <v>2297.7366880706741</v>
      </c>
    </row>
    <row r="248" spans="7:31" x14ac:dyDescent="0.2">
      <c r="G248">
        <v>725</v>
      </c>
      <c r="H248">
        <v>20.981400000000008</v>
      </c>
      <c r="I248">
        <v>6.6914685968064202E-3</v>
      </c>
      <c r="J248">
        <f t="shared" si="18"/>
        <v>-101.38226500000002</v>
      </c>
      <c r="V248">
        <v>724</v>
      </c>
      <c r="W248">
        <v>7323.1376300000002</v>
      </c>
      <c r="X248">
        <f t="shared" si="19"/>
        <v>549.7504076283268</v>
      </c>
      <c r="Y248">
        <f t="shared" si="20"/>
        <v>6773.3872223716735</v>
      </c>
      <c r="AB248">
        <v>724</v>
      </c>
      <c r="AC248">
        <v>3133.3482800000002</v>
      </c>
      <c r="AD248">
        <f t="shared" si="21"/>
        <v>531.84406157337207</v>
      </c>
      <c r="AE248">
        <f t="shared" si="22"/>
        <v>2601.5042184266281</v>
      </c>
    </row>
    <row r="249" spans="7:31" x14ac:dyDescent="0.2">
      <c r="G249">
        <v>726</v>
      </c>
      <c r="H249">
        <v>-223.74593000000004</v>
      </c>
      <c r="I249">
        <v>4.6655039439292192E-3</v>
      </c>
      <c r="J249">
        <f t="shared" si="18"/>
        <v>-85.317205000000001</v>
      </c>
      <c r="V249">
        <v>725</v>
      </c>
      <c r="W249">
        <v>7453.9622400000007</v>
      </c>
      <c r="X249">
        <f t="shared" si="19"/>
        <v>689.5349798535035</v>
      </c>
      <c r="Y249">
        <f t="shared" si="20"/>
        <v>6764.4272601464972</v>
      </c>
      <c r="AB249">
        <v>725</v>
      </c>
      <c r="AC249">
        <v>3065.2817099999997</v>
      </c>
      <c r="AD249">
        <f t="shared" si="21"/>
        <v>667.07560229793353</v>
      </c>
      <c r="AE249">
        <f t="shared" si="22"/>
        <v>2398.2061077020662</v>
      </c>
    </row>
    <row r="250" spans="7:31" x14ac:dyDescent="0.2">
      <c r="G250">
        <v>727</v>
      </c>
      <c r="H250">
        <v>53.111520000000041</v>
      </c>
      <c r="I250">
        <v>6.9574564103158593E-3</v>
      </c>
      <c r="J250">
        <f t="shared" si="18"/>
        <v>45.27818000000002</v>
      </c>
      <c r="V250">
        <v>726</v>
      </c>
      <c r="W250">
        <v>7154.3819100000001</v>
      </c>
      <c r="X250">
        <f t="shared" si="19"/>
        <v>480.76563783308177</v>
      </c>
      <c r="Y250">
        <f t="shared" si="20"/>
        <v>6673.616272166918</v>
      </c>
      <c r="AB250">
        <v>726</v>
      </c>
      <c r="AC250">
        <v>2556.1773899999998</v>
      </c>
      <c r="AD250">
        <f t="shared" si="21"/>
        <v>465.10624811200967</v>
      </c>
      <c r="AE250">
        <f t="shared" si="22"/>
        <v>2091.0711418879901</v>
      </c>
    </row>
    <row r="251" spans="7:31" x14ac:dyDescent="0.2">
      <c r="G251">
        <v>728</v>
      </c>
      <c r="H251">
        <v>37.444839999999999</v>
      </c>
      <c r="I251">
        <v>6.8277604752196921E-3</v>
      </c>
      <c r="J251">
        <f t="shared" si="18"/>
        <v>33.673324999999977</v>
      </c>
      <c r="V251">
        <v>727</v>
      </c>
      <c r="W251">
        <v>7191.1028799999995</v>
      </c>
      <c r="X251">
        <f t="shared" si="19"/>
        <v>716.94419488247968</v>
      </c>
      <c r="Y251">
        <f t="shared" si="20"/>
        <v>6474.1586851175198</v>
      </c>
      <c r="AB251">
        <v>727</v>
      </c>
      <c r="AC251">
        <v>3332.6703299999999</v>
      </c>
      <c r="AD251">
        <f t="shared" si="21"/>
        <v>693.59205056840767</v>
      </c>
      <c r="AE251">
        <f t="shared" si="22"/>
        <v>2639.0782794315924</v>
      </c>
    </row>
    <row r="252" spans="7:31" x14ac:dyDescent="0.2">
      <c r="G252">
        <v>729</v>
      </c>
      <c r="H252">
        <v>29.901809999999955</v>
      </c>
      <c r="I252">
        <v>6.7653158264933226E-3</v>
      </c>
      <c r="J252">
        <f t="shared" si="18"/>
        <v>101.85584</v>
      </c>
      <c r="V252">
        <v>728</v>
      </c>
      <c r="W252">
        <v>7502.49568</v>
      </c>
      <c r="X252">
        <f t="shared" si="19"/>
        <v>703.57943306677032</v>
      </c>
      <c r="Y252">
        <f t="shared" si="20"/>
        <v>6798.9162469332296</v>
      </c>
      <c r="AB252">
        <v>728</v>
      </c>
      <c r="AC252">
        <v>3124.0152600000001</v>
      </c>
      <c r="AD252">
        <f t="shared" si="21"/>
        <v>680.6626027546406</v>
      </c>
      <c r="AE252">
        <f t="shared" si="22"/>
        <v>2443.3526572453593</v>
      </c>
    </row>
    <row r="253" spans="7:31" x14ac:dyDescent="0.2">
      <c r="G253">
        <v>730</v>
      </c>
      <c r="H253">
        <v>173.80987000000005</v>
      </c>
      <c r="I253">
        <v>7.9566524983073431E-3</v>
      </c>
      <c r="J253">
        <f t="shared" si="18"/>
        <v>225.19833</v>
      </c>
      <c r="V253">
        <v>729</v>
      </c>
      <c r="W253">
        <v>6883.4134300000005</v>
      </c>
      <c r="X253">
        <f t="shared" si="19"/>
        <v>697.14470667172361</v>
      </c>
      <c r="Y253">
        <f t="shared" si="20"/>
        <v>6186.2687233282768</v>
      </c>
      <c r="AB253">
        <v>729</v>
      </c>
      <c r="AC253">
        <v>2497.8752100000002</v>
      </c>
      <c r="AD253">
        <f t="shared" si="21"/>
        <v>674.43746681373432</v>
      </c>
      <c r="AE253">
        <f t="shared" si="22"/>
        <v>1823.4377431862658</v>
      </c>
    </row>
    <row r="254" spans="7:31" x14ac:dyDescent="0.2">
      <c r="G254">
        <v>731</v>
      </c>
      <c r="H254">
        <v>276.58678999999995</v>
      </c>
      <c r="I254">
        <v>8.8074868005145711E-3</v>
      </c>
      <c r="J254">
        <f t="shared" si="18"/>
        <v>172.82882999999993</v>
      </c>
      <c r="V254">
        <v>730</v>
      </c>
      <c r="W254">
        <v>7225.7102199999999</v>
      </c>
      <c r="X254">
        <f t="shared" si="19"/>
        <v>819.9082369960048</v>
      </c>
      <c r="Y254">
        <f t="shared" si="20"/>
        <v>6405.8019830039948</v>
      </c>
      <c r="AB254">
        <v>730</v>
      </c>
      <c r="AC254">
        <v>2918.1427100000001</v>
      </c>
      <c r="AD254">
        <f t="shared" si="21"/>
        <v>793.2023711680996</v>
      </c>
      <c r="AE254">
        <f t="shared" si="22"/>
        <v>2124.9403388319006</v>
      </c>
    </row>
    <row r="255" spans="7:31" x14ac:dyDescent="0.2">
      <c r="G255">
        <v>732</v>
      </c>
      <c r="H255">
        <v>69.0708699999999</v>
      </c>
      <c r="I255">
        <v>7.0895752013920149E-3</v>
      </c>
      <c r="J255">
        <f t="shared" si="18"/>
        <v>-16.459750000000042</v>
      </c>
      <c r="V255">
        <v>731</v>
      </c>
      <c r="W255">
        <v>7157.4035000000003</v>
      </c>
      <c r="X255">
        <f t="shared" si="19"/>
        <v>907.58405956672277</v>
      </c>
      <c r="Y255">
        <f t="shared" si="20"/>
        <v>6249.8194404332771</v>
      </c>
      <c r="AB255">
        <v>731</v>
      </c>
      <c r="AC255">
        <v>3172.6503199999997</v>
      </c>
      <c r="AD255">
        <f t="shared" si="21"/>
        <v>878.02243665738672</v>
      </c>
      <c r="AE255">
        <f t="shared" si="22"/>
        <v>2294.6278833426131</v>
      </c>
    </row>
    <row r="256" spans="7:31" x14ac:dyDescent="0.2">
      <c r="G256">
        <v>733</v>
      </c>
      <c r="H256">
        <v>-101.99036999999998</v>
      </c>
      <c r="I256">
        <v>5.6734520993365831E-3</v>
      </c>
      <c r="J256">
        <f t="shared" si="18"/>
        <v>-93.797754999999967</v>
      </c>
      <c r="V256">
        <v>732</v>
      </c>
      <c r="W256">
        <v>6530.58817</v>
      </c>
      <c r="X256">
        <f t="shared" si="19"/>
        <v>730.55862445425487</v>
      </c>
      <c r="Y256">
        <f t="shared" si="20"/>
        <v>5800.0295455457453</v>
      </c>
      <c r="AB256">
        <v>732</v>
      </c>
      <c r="AC256">
        <v>2606.3738999999996</v>
      </c>
      <c r="AD256">
        <f t="shared" si="21"/>
        <v>706.76303401650512</v>
      </c>
      <c r="AE256">
        <f t="shared" si="22"/>
        <v>1899.6108659834945</v>
      </c>
    </row>
    <row r="257" spans="7:31" x14ac:dyDescent="0.2">
      <c r="G257">
        <v>734</v>
      </c>
      <c r="H257">
        <v>-85.605139999999949</v>
      </c>
      <c r="I257">
        <v>5.8090965196359564E-3</v>
      </c>
      <c r="J257">
        <f t="shared" si="18"/>
        <v>-180.54413499999995</v>
      </c>
      <c r="V257">
        <v>733</v>
      </c>
      <c r="W257">
        <v>6759.0370199999998</v>
      </c>
      <c r="X257">
        <f t="shared" si="19"/>
        <v>584.63155321134366</v>
      </c>
      <c r="Y257">
        <f t="shared" si="20"/>
        <v>6174.4054667886558</v>
      </c>
      <c r="AB257">
        <v>733</v>
      </c>
      <c r="AC257">
        <v>2924.2661600000001</v>
      </c>
      <c r="AD257">
        <f t="shared" si="21"/>
        <v>565.58906636424786</v>
      </c>
      <c r="AE257">
        <f t="shared" si="22"/>
        <v>2358.6770936357525</v>
      </c>
    </row>
    <row r="258" spans="7:31" x14ac:dyDescent="0.2">
      <c r="G258">
        <v>735</v>
      </c>
      <c r="H258">
        <v>-275.48312999999996</v>
      </c>
      <c r="I258">
        <v>4.2371997637674118E-3</v>
      </c>
      <c r="J258">
        <f t="shared" si="18"/>
        <v>-186.232325</v>
      </c>
      <c r="V258">
        <v>734</v>
      </c>
      <c r="W258">
        <v>6455.7351699999999</v>
      </c>
      <c r="X258">
        <f t="shared" si="19"/>
        <v>598.6092878842685</v>
      </c>
      <c r="Y258">
        <f t="shared" si="20"/>
        <v>5857.1258821157317</v>
      </c>
      <c r="AB258">
        <v>734</v>
      </c>
      <c r="AC258">
        <v>2780.7505700000002</v>
      </c>
      <c r="AD258">
        <f t="shared" si="21"/>
        <v>579.11152142183312</v>
      </c>
      <c r="AE258">
        <f t="shared" si="22"/>
        <v>2201.6390485781671</v>
      </c>
    </row>
    <row r="259" spans="7:31" x14ac:dyDescent="0.2">
      <c r="G259">
        <v>736</v>
      </c>
      <c r="H259">
        <v>-96.981520000000046</v>
      </c>
      <c r="I259">
        <v>5.7149176481641863E-3</v>
      </c>
      <c r="J259">
        <f t="shared" si="18"/>
        <v>58.112499999999955</v>
      </c>
      <c r="V259">
        <v>735</v>
      </c>
      <c r="W259">
        <v>6571.9405200000001</v>
      </c>
      <c r="X259">
        <f t="shared" si="19"/>
        <v>436.63022720289621</v>
      </c>
      <c r="Y259">
        <f t="shared" si="20"/>
        <v>6135.310292797104</v>
      </c>
      <c r="AB259">
        <v>735</v>
      </c>
      <c r="AC259">
        <v>2683.8881700000002</v>
      </c>
      <c r="AD259">
        <f t="shared" si="21"/>
        <v>422.40840610397589</v>
      </c>
      <c r="AE259">
        <f t="shared" si="22"/>
        <v>2261.4797638960245</v>
      </c>
    </row>
    <row r="260" spans="7:31" x14ac:dyDescent="0.2">
      <c r="G260">
        <v>737</v>
      </c>
      <c r="H260">
        <v>213.20651999999995</v>
      </c>
      <c r="I260">
        <v>8.2827959672111817E-3</v>
      </c>
      <c r="J260">
        <f t="shared" ref="J260:J323" si="23">(H261+H260)/2*(G261-G260)</f>
        <v>116.48416999999995</v>
      </c>
      <c r="V260">
        <v>736</v>
      </c>
      <c r="W260">
        <v>6010.0176599999995</v>
      </c>
      <c r="X260">
        <f t="shared" si="19"/>
        <v>588.90444875913147</v>
      </c>
      <c r="Y260">
        <f t="shared" si="20"/>
        <v>5421.1132112408677</v>
      </c>
      <c r="AB260">
        <v>736</v>
      </c>
      <c r="AC260">
        <v>2774.0068099999999</v>
      </c>
      <c r="AD260">
        <f t="shared" si="21"/>
        <v>569.72278612376203</v>
      </c>
      <c r="AE260">
        <f t="shared" si="22"/>
        <v>2204.2840238762378</v>
      </c>
    </row>
    <row r="261" spans="7:31" x14ac:dyDescent="0.2">
      <c r="G261">
        <v>738</v>
      </c>
      <c r="H261">
        <v>19.761819999999943</v>
      </c>
      <c r="I261">
        <v>6.6813723563442047E-3</v>
      </c>
      <c r="J261">
        <f t="shared" si="23"/>
        <v>110.95567999999997</v>
      </c>
      <c r="V261">
        <v>737</v>
      </c>
      <c r="W261">
        <v>5960.5294699999995</v>
      </c>
      <c r="X261">
        <f t="shared" ref="X261:X324" si="24">I260*MAX(W:W)</f>
        <v>853.5163047925555</v>
      </c>
      <c r="Y261">
        <f t="shared" ref="Y261:Y324" si="25">W261-X261</f>
        <v>5107.0131652074442</v>
      </c>
      <c r="AB261">
        <v>737</v>
      </c>
      <c r="AC261">
        <v>2332.5643600000003</v>
      </c>
      <c r="AD261">
        <f t="shared" ref="AD261:AD324" si="26">I260*MAX(AC:AC)</f>
        <v>825.71576457450362</v>
      </c>
      <c r="AE261">
        <f t="shared" ref="AE261:AE324" si="27">AC261-AD261</f>
        <v>1506.8485954254966</v>
      </c>
    </row>
    <row r="262" spans="7:31" x14ac:dyDescent="0.2">
      <c r="G262">
        <v>739</v>
      </c>
      <c r="H262">
        <v>202.14954</v>
      </c>
      <c r="I262">
        <v>8.1912612348722554E-3</v>
      </c>
      <c r="J262">
        <f t="shared" si="23"/>
        <v>62.518044999999972</v>
      </c>
      <c r="V262">
        <v>738</v>
      </c>
      <c r="W262">
        <v>5741.1829900000002</v>
      </c>
      <c r="X262">
        <f t="shared" si="24"/>
        <v>688.49459374647881</v>
      </c>
      <c r="Y262">
        <f t="shared" si="25"/>
        <v>5052.6883962535212</v>
      </c>
      <c r="AB262">
        <v>738</v>
      </c>
      <c r="AC262">
        <v>2442.6046699999997</v>
      </c>
      <c r="AD262">
        <f t="shared" si="26"/>
        <v>666.06910341209982</v>
      </c>
      <c r="AE262">
        <f t="shared" si="27"/>
        <v>1776.5355665878999</v>
      </c>
    </row>
    <row r="263" spans="7:31" x14ac:dyDescent="0.2">
      <c r="G263">
        <v>740</v>
      </c>
      <c r="H263">
        <v>-77.113450000000057</v>
      </c>
      <c r="I263">
        <v>5.879394609282055E-3</v>
      </c>
      <c r="J263">
        <f t="shared" si="23"/>
        <v>42.533684999999934</v>
      </c>
      <c r="V263">
        <v>739</v>
      </c>
      <c r="W263">
        <v>6138.20363</v>
      </c>
      <c r="X263">
        <f t="shared" si="24"/>
        <v>844.08393596258895</v>
      </c>
      <c r="Y263">
        <f t="shared" si="25"/>
        <v>5294.1196940374111</v>
      </c>
      <c r="AB263">
        <v>739</v>
      </c>
      <c r="AC263">
        <v>2545.15436</v>
      </c>
      <c r="AD263">
        <f t="shared" si="26"/>
        <v>816.5906247307164</v>
      </c>
      <c r="AE263">
        <f t="shared" si="27"/>
        <v>1728.5637352692836</v>
      </c>
    </row>
    <row r="264" spans="7:31" x14ac:dyDescent="0.2">
      <c r="G264">
        <v>741</v>
      </c>
      <c r="H264">
        <v>162.18081999999993</v>
      </c>
      <c r="I264">
        <v>7.8603819091314555E-3</v>
      </c>
      <c r="J264">
        <f t="shared" si="23"/>
        <v>27.038514999999961</v>
      </c>
      <c r="V264">
        <v>740</v>
      </c>
      <c r="W264">
        <v>5397.5205000000005</v>
      </c>
      <c r="X264">
        <f t="shared" si="24"/>
        <v>605.85328688487607</v>
      </c>
      <c r="Y264">
        <f t="shared" si="25"/>
        <v>4791.6672131151245</v>
      </c>
      <c r="AB264">
        <v>740</v>
      </c>
      <c r="AC264">
        <v>2456.9809</v>
      </c>
      <c r="AD264">
        <f t="shared" si="26"/>
        <v>586.11957052385628</v>
      </c>
      <c r="AE264">
        <f t="shared" si="27"/>
        <v>1870.8613294761437</v>
      </c>
    </row>
    <row r="265" spans="7:31" x14ac:dyDescent="0.2">
      <c r="G265">
        <v>742</v>
      </c>
      <c r="H265">
        <v>-108.10379</v>
      </c>
      <c r="I265">
        <v>5.6228424153744669E-3</v>
      </c>
      <c r="J265">
        <f t="shared" si="23"/>
        <v>-75.78694999999999</v>
      </c>
      <c r="V265">
        <v>741</v>
      </c>
      <c r="W265">
        <v>4906.6608899999992</v>
      </c>
      <c r="X265">
        <f t="shared" si="24"/>
        <v>809.9878528818864</v>
      </c>
      <c r="Y265">
        <f t="shared" si="25"/>
        <v>4096.6730371181129</v>
      </c>
      <c r="AB265">
        <v>741</v>
      </c>
      <c r="AC265">
        <v>2433.5540100000003</v>
      </c>
      <c r="AD265">
        <f t="shared" si="26"/>
        <v>783.60511156372343</v>
      </c>
      <c r="AE265">
        <f t="shared" si="27"/>
        <v>1649.948898436277</v>
      </c>
    </row>
    <row r="266" spans="7:31" x14ac:dyDescent="0.2">
      <c r="G266">
        <v>743</v>
      </c>
      <c r="H266">
        <v>-43.470109999999977</v>
      </c>
      <c r="I266">
        <v>6.1579095493368898E-3</v>
      </c>
      <c r="J266">
        <f t="shared" si="23"/>
        <v>96.125994999999989</v>
      </c>
      <c r="V266">
        <v>742</v>
      </c>
      <c r="W266">
        <v>4943.9853899999998</v>
      </c>
      <c r="X266">
        <f t="shared" si="24"/>
        <v>579.41638304259106</v>
      </c>
      <c r="Y266">
        <f t="shared" si="25"/>
        <v>4364.5690069574084</v>
      </c>
      <c r="AB266">
        <v>742</v>
      </c>
      <c r="AC266">
        <v>1957.2293500000001</v>
      </c>
      <c r="AD266">
        <f t="shared" si="26"/>
        <v>560.54376353980513</v>
      </c>
      <c r="AE266">
        <f t="shared" si="27"/>
        <v>1396.6855864601948</v>
      </c>
    </row>
    <row r="267" spans="7:31" x14ac:dyDescent="0.2">
      <c r="G267">
        <v>744</v>
      </c>
      <c r="H267">
        <v>235.72209999999995</v>
      </c>
      <c r="I267">
        <v>8.4691902257479322E-3</v>
      </c>
      <c r="J267">
        <f t="shared" si="23"/>
        <v>-74.525149999999996</v>
      </c>
      <c r="V267">
        <v>743</v>
      </c>
      <c r="W267">
        <v>5505.8118999999997</v>
      </c>
      <c r="X267">
        <f t="shared" si="24"/>
        <v>634.55338325404477</v>
      </c>
      <c r="Y267">
        <f t="shared" si="25"/>
        <v>4871.2585167459547</v>
      </c>
      <c r="AB267">
        <v>743</v>
      </c>
      <c r="AC267">
        <v>2001.1324</v>
      </c>
      <c r="AD267">
        <f t="shared" si="26"/>
        <v>613.88485383919942</v>
      </c>
      <c r="AE267">
        <f t="shared" si="27"/>
        <v>1387.2475461608005</v>
      </c>
    </row>
    <row r="268" spans="7:31" x14ac:dyDescent="0.2">
      <c r="G268">
        <v>745</v>
      </c>
      <c r="H268">
        <v>-384.77239999999995</v>
      </c>
      <c r="I268">
        <v>3.3324532527882222E-3</v>
      </c>
      <c r="J268">
        <f t="shared" si="23"/>
        <v>-200.55476499999997</v>
      </c>
      <c r="V268">
        <v>744</v>
      </c>
      <c r="W268">
        <v>4814.0819700000002</v>
      </c>
      <c r="X268">
        <f t="shared" si="24"/>
        <v>872.72365209540135</v>
      </c>
      <c r="Y268">
        <f t="shared" si="25"/>
        <v>3941.3583179045991</v>
      </c>
      <c r="AB268">
        <v>744</v>
      </c>
      <c r="AC268">
        <v>1707.91291</v>
      </c>
      <c r="AD268">
        <f t="shared" si="26"/>
        <v>844.29749450111819</v>
      </c>
      <c r="AE268">
        <f t="shared" si="27"/>
        <v>863.61541549888182</v>
      </c>
    </row>
    <row r="269" spans="7:31" x14ac:dyDescent="0.2">
      <c r="G269">
        <v>746</v>
      </c>
      <c r="H269">
        <v>-16.337130000000002</v>
      </c>
      <c r="I269">
        <v>6.3825287547489866E-3</v>
      </c>
      <c r="J269">
        <f t="shared" si="23"/>
        <v>167.38057499999999</v>
      </c>
      <c r="V269">
        <v>745</v>
      </c>
      <c r="W269">
        <v>4521.5125399999997</v>
      </c>
      <c r="X269">
        <f t="shared" si="24"/>
        <v>343.3989195765995</v>
      </c>
      <c r="Y269">
        <f t="shared" si="25"/>
        <v>4178.1136204233999</v>
      </c>
      <c r="AB269">
        <v>745</v>
      </c>
      <c r="AC269">
        <v>1221.8788</v>
      </c>
      <c r="AD269">
        <f t="shared" si="26"/>
        <v>332.21380756301573</v>
      </c>
      <c r="AE269">
        <f t="shared" si="27"/>
        <v>889.66499243698422</v>
      </c>
    </row>
    <row r="270" spans="7:31" x14ac:dyDescent="0.2">
      <c r="G270">
        <v>747</v>
      </c>
      <c r="H270">
        <v>351.09827999999999</v>
      </c>
      <c r="I270">
        <v>9.4243269587969032E-3</v>
      </c>
      <c r="J270">
        <f t="shared" si="23"/>
        <v>132.56730999999999</v>
      </c>
      <c r="V270">
        <v>746</v>
      </c>
      <c r="W270">
        <v>4101.6897799999997</v>
      </c>
      <c r="X270">
        <f t="shared" si="24"/>
        <v>657.69969217529706</v>
      </c>
      <c r="Y270">
        <f t="shared" si="25"/>
        <v>3443.9900878247026</v>
      </c>
      <c r="AB270">
        <v>746</v>
      </c>
      <c r="AC270">
        <v>2064.5030199999997</v>
      </c>
      <c r="AD270">
        <f t="shared" si="26"/>
        <v>636.27724641643874</v>
      </c>
      <c r="AE270">
        <f t="shared" si="27"/>
        <v>1428.225773583561</v>
      </c>
    </row>
    <row r="271" spans="7:31" x14ac:dyDescent="0.2">
      <c r="G271">
        <v>748</v>
      </c>
      <c r="H271">
        <v>-85.963660000000004</v>
      </c>
      <c r="I271">
        <v>5.8061285272693096E-3</v>
      </c>
      <c r="J271">
        <f t="shared" si="23"/>
        <v>-86.723884999999996</v>
      </c>
      <c r="V271">
        <v>747</v>
      </c>
      <c r="W271">
        <v>4189.3265599999995</v>
      </c>
      <c r="X271">
        <f t="shared" si="24"/>
        <v>971.14751502656532</v>
      </c>
      <c r="Y271">
        <f t="shared" si="25"/>
        <v>3218.1790449734344</v>
      </c>
      <c r="AB271">
        <v>747</v>
      </c>
      <c r="AC271">
        <v>1993.5272699999998</v>
      </c>
      <c r="AD271">
        <f t="shared" si="26"/>
        <v>939.51551760887207</v>
      </c>
      <c r="AE271">
        <f t="shared" si="27"/>
        <v>1054.0117523911276</v>
      </c>
    </row>
    <row r="272" spans="7:31" x14ac:dyDescent="0.2">
      <c r="G272">
        <v>749</v>
      </c>
      <c r="H272">
        <v>-87.484109999999987</v>
      </c>
      <c r="I272">
        <v>5.7935415474805498E-3</v>
      </c>
      <c r="J272">
        <f t="shared" si="23"/>
        <v>-163.00148999999999</v>
      </c>
      <c r="V272">
        <v>748</v>
      </c>
      <c r="W272">
        <v>3904.7177100000004</v>
      </c>
      <c r="X272">
        <f t="shared" si="24"/>
        <v>598.30344552288943</v>
      </c>
      <c r="Y272">
        <f t="shared" si="25"/>
        <v>3306.4142644771109</v>
      </c>
      <c r="AB272">
        <v>748</v>
      </c>
      <c r="AC272">
        <v>1521.72964</v>
      </c>
      <c r="AD272">
        <f t="shared" si="26"/>
        <v>578.8156408887404</v>
      </c>
      <c r="AE272">
        <f t="shared" si="27"/>
        <v>942.91399911125961</v>
      </c>
    </row>
    <row r="273" spans="7:31" x14ac:dyDescent="0.2">
      <c r="G273">
        <v>750</v>
      </c>
      <c r="H273">
        <v>-238.51886999999999</v>
      </c>
      <c r="I273">
        <v>4.5432067969000105E-3</v>
      </c>
      <c r="J273">
        <f t="shared" si="23"/>
        <v>0.22202500000003056</v>
      </c>
      <c r="V273">
        <v>749</v>
      </c>
      <c r="W273">
        <v>3845.1973200000002</v>
      </c>
      <c r="X273">
        <f t="shared" si="24"/>
        <v>597.0063964925464</v>
      </c>
      <c r="Y273">
        <f t="shared" si="25"/>
        <v>3248.1909235074536</v>
      </c>
      <c r="AB273">
        <v>749</v>
      </c>
      <c r="AC273">
        <v>1902.5571400000001</v>
      </c>
      <c r="AD273">
        <f t="shared" si="26"/>
        <v>577.56083904633078</v>
      </c>
      <c r="AE273">
        <f t="shared" si="27"/>
        <v>1324.9963009536693</v>
      </c>
    </row>
    <row r="274" spans="7:31" x14ac:dyDescent="0.2">
      <c r="G274">
        <v>751</v>
      </c>
      <c r="H274">
        <v>238.96292000000005</v>
      </c>
      <c r="I274">
        <v>8.4960192144282656E-3</v>
      </c>
      <c r="J274">
        <f t="shared" si="23"/>
        <v>29.325800000000044</v>
      </c>
      <c r="V274">
        <v>750</v>
      </c>
      <c r="W274">
        <v>3856.9059999999999</v>
      </c>
      <c r="X274">
        <f t="shared" si="24"/>
        <v>468.16329806372636</v>
      </c>
      <c r="Y274">
        <f t="shared" si="25"/>
        <v>3388.7427019362735</v>
      </c>
      <c r="AB274">
        <v>750</v>
      </c>
      <c r="AC274">
        <v>2224.0663599999998</v>
      </c>
      <c r="AD274">
        <f t="shared" si="26"/>
        <v>452.91438890598067</v>
      </c>
      <c r="AE274">
        <f t="shared" si="27"/>
        <v>1771.1519710940192</v>
      </c>
    </row>
    <row r="275" spans="7:31" x14ac:dyDescent="0.2">
      <c r="G275">
        <v>752</v>
      </c>
      <c r="H275">
        <v>-180.31131999999997</v>
      </c>
      <c r="I275">
        <v>5.0250754906441143E-3</v>
      </c>
      <c r="J275">
        <f t="shared" si="23"/>
        <v>42.548435000000012</v>
      </c>
      <c r="V275">
        <v>751</v>
      </c>
      <c r="W275">
        <v>4012.0359899999999</v>
      </c>
      <c r="X275">
        <f t="shared" si="24"/>
        <v>875.48829574597642</v>
      </c>
      <c r="Y275">
        <f t="shared" si="25"/>
        <v>3136.5476942540236</v>
      </c>
      <c r="AB275">
        <v>751</v>
      </c>
      <c r="AC275">
        <v>1837.93993</v>
      </c>
      <c r="AD275">
        <f t="shared" si="26"/>
        <v>846.97208880340918</v>
      </c>
      <c r="AE275">
        <f t="shared" si="27"/>
        <v>990.96784119659083</v>
      </c>
    </row>
    <row r="276" spans="7:31" x14ac:dyDescent="0.2">
      <c r="G276">
        <v>753</v>
      </c>
      <c r="H276">
        <v>265.40818999999999</v>
      </c>
      <c r="I276">
        <v>8.714945242247852E-3</v>
      </c>
      <c r="J276">
        <f t="shared" si="23"/>
        <v>11.928369999999973</v>
      </c>
      <c r="V276">
        <v>752</v>
      </c>
      <c r="W276">
        <v>3383.71974</v>
      </c>
      <c r="X276">
        <f t="shared" si="24"/>
        <v>517.81836484405198</v>
      </c>
      <c r="Y276">
        <f t="shared" si="25"/>
        <v>2865.9013751559478</v>
      </c>
      <c r="AB276">
        <v>752</v>
      </c>
      <c r="AC276">
        <v>1727.26613</v>
      </c>
      <c r="AD276">
        <f t="shared" si="26"/>
        <v>500.95210207126087</v>
      </c>
      <c r="AE276">
        <f t="shared" si="27"/>
        <v>1226.3140279287391</v>
      </c>
    </row>
    <row r="277" spans="7:31" x14ac:dyDescent="0.2">
      <c r="G277">
        <v>754</v>
      </c>
      <c r="H277">
        <v>-241.55145000000005</v>
      </c>
      <c r="I277">
        <v>4.518101714083872E-3</v>
      </c>
      <c r="J277">
        <f t="shared" si="23"/>
        <v>-194.31281000000001</v>
      </c>
      <c r="V277">
        <v>753</v>
      </c>
      <c r="W277">
        <v>3313.3427700000002</v>
      </c>
      <c r="X277">
        <f t="shared" si="24"/>
        <v>898.04794046343534</v>
      </c>
      <c r="Y277">
        <f t="shared" si="25"/>
        <v>2415.294829536565</v>
      </c>
      <c r="AB277">
        <v>753</v>
      </c>
      <c r="AC277">
        <v>2180.8634999999999</v>
      </c>
      <c r="AD277">
        <f t="shared" si="26"/>
        <v>868.7969258707376</v>
      </c>
      <c r="AE277">
        <f t="shared" si="27"/>
        <v>1312.0665741292623</v>
      </c>
    </row>
    <row r="278" spans="7:31" x14ac:dyDescent="0.2">
      <c r="G278">
        <v>755</v>
      </c>
      <c r="H278">
        <v>-147.07416999999998</v>
      </c>
      <c r="I278">
        <v>5.3002278042920325E-3</v>
      </c>
      <c r="J278">
        <f t="shared" si="23"/>
        <v>-154.76767999999998</v>
      </c>
      <c r="V278">
        <v>754</v>
      </c>
      <c r="W278">
        <v>2912.0733499999997</v>
      </c>
      <c r="X278">
        <f t="shared" si="24"/>
        <v>465.57629753859379</v>
      </c>
      <c r="Y278">
        <f t="shared" si="25"/>
        <v>2446.4970524614059</v>
      </c>
      <c r="AB278">
        <v>754</v>
      </c>
      <c r="AC278">
        <v>1034.09239</v>
      </c>
      <c r="AD278">
        <f t="shared" si="26"/>
        <v>450.41165157739073</v>
      </c>
      <c r="AE278">
        <f t="shared" si="27"/>
        <v>583.68073842260924</v>
      </c>
    </row>
    <row r="279" spans="7:31" x14ac:dyDescent="0.2">
      <c r="G279">
        <v>756</v>
      </c>
      <c r="H279">
        <v>-162.46118999999999</v>
      </c>
      <c r="I279">
        <v>5.1728470224516286E-3</v>
      </c>
      <c r="J279">
        <f t="shared" si="23"/>
        <v>-181.38799499999999</v>
      </c>
      <c r="V279">
        <v>755</v>
      </c>
      <c r="W279">
        <v>3033.3764200000001</v>
      </c>
      <c r="X279">
        <f t="shared" si="24"/>
        <v>546.17195304416873</v>
      </c>
      <c r="Y279">
        <f t="shared" si="25"/>
        <v>2487.2044669558313</v>
      </c>
      <c r="AB279">
        <v>755</v>
      </c>
      <c r="AC279">
        <v>1320.8699499999998</v>
      </c>
      <c r="AD279">
        <f t="shared" si="26"/>
        <v>528.38216360333695</v>
      </c>
      <c r="AE279">
        <f t="shared" si="27"/>
        <v>792.48778639666284</v>
      </c>
    </row>
    <row r="280" spans="7:31" x14ac:dyDescent="0.2">
      <c r="G280">
        <v>757</v>
      </c>
      <c r="H280">
        <v>-200.31479999999999</v>
      </c>
      <c r="I280">
        <v>4.8594775436778485E-3</v>
      </c>
      <c r="J280">
        <f t="shared" si="23"/>
        <v>78.213859999999954</v>
      </c>
      <c r="V280">
        <v>756</v>
      </c>
      <c r="W280">
        <v>2895.6793000000002</v>
      </c>
      <c r="X280">
        <f t="shared" si="24"/>
        <v>533.04576055453117</v>
      </c>
      <c r="Y280">
        <f t="shared" si="25"/>
        <v>2362.6335394454691</v>
      </c>
      <c r="AB280">
        <v>756</v>
      </c>
      <c r="AC280">
        <v>900.11332000000004</v>
      </c>
      <c r="AD280">
        <f t="shared" si="26"/>
        <v>515.68351448946032</v>
      </c>
      <c r="AE280">
        <f t="shared" si="27"/>
        <v>384.42980551053972</v>
      </c>
    </row>
    <row r="281" spans="7:31" x14ac:dyDescent="0.2">
      <c r="G281">
        <v>758</v>
      </c>
      <c r="H281">
        <v>356.7425199999999</v>
      </c>
      <c r="I281">
        <v>9.4710525563521733E-3</v>
      </c>
      <c r="J281">
        <f t="shared" si="23"/>
        <v>308.37848999999994</v>
      </c>
      <c r="V281">
        <v>757</v>
      </c>
      <c r="W281">
        <v>2643.3554199999999</v>
      </c>
      <c r="X281">
        <f t="shared" si="24"/>
        <v>500.75401262103446</v>
      </c>
      <c r="Y281">
        <f t="shared" si="25"/>
        <v>2142.6014073789656</v>
      </c>
      <c r="AB281">
        <v>757</v>
      </c>
      <c r="AC281">
        <v>984.85770000000002</v>
      </c>
      <c r="AD281">
        <f t="shared" si="26"/>
        <v>484.44356607296828</v>
      </c>
      <c r="AE281">
        <f t="shared" si="27"/>
        <v>500.41413392703174</v>
      </c>
    </row>
    <row r="282" spans="7:31" x14ac:dyDescent="0.2">
      <c r="G282">
        <v>759</v>
      </c>
      <c r="H282">
        <v>260.01445999999999</v>
      </c>
      <c r="I282">
        <v>8.6702934809298055E-3</v>
      </c>
      <c r="J282">
        <f t="shared" si="23"/>
        <v>51.664324999999963</v>
      </c>
      <c r="V282">
        <v>758</v>
      </c>
      <c r="W282">
        <v>3131.4463299999998</v>
      </c>
      <c r="X282">
        <f t="shared" si="24"/>
        <v>975.96244219879964</v>
      </c>
      <c r="Y282">
        <f t="shared" si="25"/>
        <v>2155.4838878012001</v>
      </c>
      <c r="AB282">
        <v>758</v>
      </c>
      <c r="AC282">
        <v>1653.0425999999998</v>
      </c>
      <c r="AD282">
        <f t="shared" si="26"/>
        <v>944.1736140612395</v>
      </c>
      <c r="AE282">
        <f t="shared" si="27"/>
        <v>708.86898593876026</v>
      </c>
    </row>
    <row r="283" spans="7:31" x14ac:dyDescent="0.2">
      <c r="G283">
        <v>760</v>
      </c>
      <c r="H283">
        <v>-156.68581000000006</v>
      </c>
      <c r="I283">
        <v>5.2206582568443457E-3</v>
      </c>
      <c r="J283">
        <f t="shared" si="23"/>
        <v>-381.65259000000003</v>
      </c>
      <c r="V283">
        <v>759</v>
      </c>
      <c r="W283">
        <v>2557.6329599999999</v>
      </c>
      <c r="X283">
        <f t="shared" si="24"/>
        <v>893.4467156507601</v>
      </c>
      <c r="Y283">
        <f t="shared" si="25"/>
        <v>1664.1862443492398</v>
      </c>
      <c r="AB283">
        <v>759</v>
      </c>
      <c r="AC283">
        <v>817.36973</v>
      </c>
      <c r="AD283">
        <f t="shared" si="26"/>
        <v>864.34557111296215</v>
      </c>
      <c r="AE283">
        <f t="shared" si="27"/>
        <v>-46.975841112962144</v>
      </c>
    </row>
    <row r="284" spans="7:31" x14ac:dyDescent="0.2">
      <c r="G284">
        <v>761</v>
      </c>
      <c r="H284">
        <v>-606.61937</v>
      </c>
      <c r="I284">
        <v>1.4959026739545917E-3</v>
      </c>
      <c r="J284">
        <f t="shared" si="23"/>
        <v>-488.59800999999999</v>
      </c>
      <c r="V284">
        <v>760</v>
      </c>
      <c r="W284">
        <v>2457.4605799999999</v>
      </c>
      <c r="X284">
        <f t="shared" si="24"/>
        <v>537.97255921865212</v>
      </c>
      <c r="Y284">
        <f t="shared" si="25"/>
        <v>1919.4880207813478</v>
      </c>
      <c r="AB284">
        <v>760</v>
      </c>
      <c r="AC284">
        <v>1301.53964</v>
      </c>
      <c r="AD284">
        <f t="shared" si="26"/>
        <v>520.44983858075932</v>
      </c>
      <c r="AE284">
        <f t="shared" si="27"/>
        <v>781.08980141924064</v>
      </c>
    </row>
    <row r="285" spans="7:31" x14ac:dyDescent="0.2">
      <c r="G285">
        <v>762</v>
      </c>
      <c r="H285">
        <v>-370.57664999999997</v>
      </c>
      <c r="I285">
        <v>3.4499721572811594E-3</v>
      </c>
      <c r="J285">
        <f t="shared" si="23"/>
        <v>-279.70914999999997</v>
      </c>
      <c r="V285">
        <v>761</v>
      </c>
      <c r="W285">
        <v>1364.5168699999999</v>
      </c>
      <c r="X285">
        <f t="shared" si="24"/>
        <v>154.14810743345126</v>
      </c>
      <c r="Y285">
        <f t="shared" si="25"/>
        <v>1210.3687625665486</v>
      </c>
      <c r="AB285">
        <v>761</v>
      </c>
      <c r="AC285">
        <v>166.16561000000002</v>
      </c>
      <c r="AD285">
        <f t="shared" si="26"/>
        <v>149.12723010963518</v>
      </c>
      <c r="AE285">
        <f t="shared" si="27"/>
        <v>17.038379890364837</v>
      </c>
    </row>
    <row r="286" spans="7:31" x14ac:dyDescent="0.2">
      <c r="G286">
        <v>763</v>
      </c>
      <c r="H286">
        <v>-188.84164999999996</v>
      </c>
      <c r="I286">
        <v>4.9544575214235222E-3</v>
      </c>
      <c r="J286">
        <f t="shared" si="23"/>
        <v>-98.613505000000032</v>
      </c>
      <c r="V286">
        <v>762</v>
      </c>
      <c r="W286">
        <v>1937.4219200000002</v>
      </c>
      <c r="X286">
        <f t="shared" si="24"/>
        <v>355.50887634761648</v>
      </c>
      <c r="Y286">
        <f t="shared" si="25"/>
        <v>1581.9130436523837</v>
      </c>
      <c r="AB286">
        <v>762</v>
      </c>
      <c r="AC286">
        <v>566.23152000000005</v>
      </c>
      <c r="AD286">
        <f t="shared" si="26"/>
        <v>343.9293215584687</v>
      </c>
      <c r="AE286">
        <f t="shared" si="27"/>
        <v>222.30219844153135</v>
      </c>
    </row>
    <row r="287" spans="7:31" x14ac:dyDescent="0.2">
      <c r="G287">
        <v>764</v>
      </c>
      <c r="H287">
        <v>-8.3853600000001052</v>
      </c>
      <c r="I287">
        <v>6.4483571399473593E-3</v>
      </c>
      <c r="J287">
        <f t="shared" si="23"/>
        <v>-46.916474999999991</v>
      </c>
      <c r="V287">
        <v>763</v>
      </c>
      <c r="W287">
        <v>2165.2000200000002</v>
      </c>
      <c r="X287">
        <f t="shared" si="24"/>
        <v>510.54140325044074</v>
      </c>
      <c r="Y287">
        <f t="shared" si="25"/>
        <v>1654.6586167495595</v>
      </c>
      <c r="AB287">
        <v>763</v>
      </c>
      <c r="AC287">
        <v>1092.4510799999998</v>
      </c>
      <c r="AD287">
        <f t="shared" si="26"/>
        <v>493.91216402636502</v>
      </c>
      <c r="AE287">
        <f t="shared" si="27"/>
        <v>598.53891597363486</v>
      </c>
    </row>
    <row r="288" spans="7:31" x14ac:dyDescent="0.2">
      <c r="G288">
        <v>765</v>
      </c>
      <c r="H288">
        <v>-85.447589999999877</v>
      </c>
      <c r="I288">
        <v>5.810400790520049E-3</v>
      </c>
      <c r="J288">
        <f t="shared" si="23"/>
        <v>-60.338149999999928</v>
      </c>
      <c r="V288">
        <v>764</v>
      </c>
      <c r="W288">
        <v>2789.1772099999998</v>
      </c>
      <c r="X288">
        <f t="shared" si="24"/>
        <v>664.48310206579731</v>
      </c>
      <c r="Y288">
        <f t="shared" si="25"/>
        <v>2124.6941079342023</v>
      </c>
      <c r="AB288">
        <v>764</v>
      </c>
      <c r="AC288">
        <v>799.36626999999999</v>
      </c>
      <c r="AD288">
        <f t="shared" si="26"/>
        <v>642.83970861277373</v>
      </c>
      <c r="AE288">
        <f t="shared" si="27"/>
        <v>156.52656138722625</v>
      </c>
    </row>
    <row r="289" spans="7:31" x14ac:dyDescent="0.2">
      <c r="G289">
        <v>766</v>
      </c>
      <c r="H289">
        <v>-35.228709999999978</v>
      </c>
      <c r="I289">
        <v>6.2261356240062874E-3</v>
      </c>
      <c r="J289">
        <f t="shared" si="23"/>
        <v>-117.18531000000002</v>
      </c>
      <c r="V289">
        <v>765</v>
      </c>
      <c r="W289">
        <v>2062.0628500000003</v>
      </c>
      <c r="X289">
        <f t="shared" si="24"/>
        <v>598.74368893312283</v>
      </c>
      <c r="Y289">
        <f t="shared" si="25"/>
        <v>1463.3191610668773</v>
      </c>
      <c r="AB289">
        <v>765</v>
      </c>
      <c r="AC289">
        <v>730.52804000000015</v>
      </c>
      <c r="AD289">
        <f t="shared" si="26"/>
        <v>579.2415447900936</v>
      </c>
      <c r="AE289">
        <f t="shared" si="27"/>
        <v>151.28649520990655</v>
      </c>
    </row>
    <row r="290" spans="7:31" x14ac:dyDescent="0.2">
      <c r="G290">
        <v>767</v>
      </c>
      <c r="H290">
        <v>-199.14191000000005</v>
      </c>
      <c r="I290">
        <v>4.8691872629875507E-3</v>
      </c>
      <c r="J290">
        <f t="shared" si="23"/>
        <v>-21.301140000000032</v>
      </c>
      <c r="V290">
        <v>766</v>
      </c>
      <c r="W290">
        <v>2304.7406000000001</v>
      </c>
      <c r="X290">
        <f t="shared" si="24"/>
        <v>641.58386757031269</v>
      </c>
      <c r="Y290">
        <f t="shared" si="25"/>
        <v>1663.1567324296875</v>
      </c>
      <c r="AB290">
        <v>766</v>
      </c>
      <c r="AC290">
        <v>623.25202999999988</v>
      </c>
      <c r="AD290">
        <f t="shared" si="26"/>
        <v>620.68634280893525</v>
      </c>
      <c r="AE290">
        <f t="shared" si="27"/>
        <v>2.5656871910646259</v>
      </c>
    </row>
    <row r="291" spans="7:31" x14ac:dyDescent="0.2">
      <c r="G291">
        <v>768</v>
      </c>
      <c r="H291">
        <v>156.53962999999999</v>
      </c>
      <c r="I291">
        <v>7.8136815608697216E-3</v>
      </c>
      <c r="J291">
        <f t="shared" si="23"/>
        <v>92.235175000000027</v>
      </c>
      <c r="V291">
        <v>767</v>
      </c>
      <c r="W291">
        <v>1691.8695299999999</v>
      </c>
      <c r="X291">
        <f t="shared" si="24"/>
        <v>501.75456892817965</v>
      </c>
      <c r="Y291">
        <f t="shared" si="25"/>
        <v>1190.1149610718203</v>
      </c>
      <c r="AB291">
        <v>767</v>
      </c>
      <c r="AC291">
        <v>483.53330999999991</v>
      </c>
      <c r="AD291">
        <f t="shared" si="26"/>
        <v>485.41153248616416</v>
      </c>
      <c r="AE291">
        <f t="shared" si="27"/>
        <v>-1.8782224861642476</v>
      </c>
    </row>
    <row r="292" spans="7:31" x14ac:dyDescent="0.2">
      <c r="G292">
        <v>769</v>
      </c>
      <c r="H292">
        <v>27.930720000000065</v>
      </c>
      <c r="I292">
        <v>6.7489982428885834E-3</v>
      </c>
      <c r="J292">
        <f t="shared" si="23"/>
        <v>-342.22861</v>
      </c>
      <c r="V292">
        <v>768</v>
      </c>
      <c r="W292">
        <v>1982.4122299999999</v>
      </c>
      <c r="X292">
        <f t="shared" si="24"/>
        <v>805.17552757064243</v>
      </c>
      <c r="Y292">
        <f t="shared" si="25"/>
        <v>1177.2367024293576</v>
      </c>
      <c r="AB292">
        <v>768</v>
      </c>
      <c r="AC292">
        <v>1185.7339999999999</v>
      </c>
      <c r="AD292">
        <f t="shared" si="26"/>
        <v>778.94953222511788</v>
      </c>
      <c r="AE292">
        <f t="shared" si="27"/>
        <v>406.78446777488205</v>
      </c>
    </row>
    <row r="293" spans="7:31" x14ac:dyDescent="0.2">
      <c r="G293">
        <v>770</v>
      </c>
      <c r="H293">
        <v>-712.38794000000007</v>
      </c>
      <c r="I293">
        <v>6.2030212617201228E-4</v>
      </c>
      <c r="J293">
        <f t="shared" si="23"/>
        <v>-482.671515</v>
      </c>
      <c r="V293">
        <v>769</v>
      </c>
      <c r="W293">
        <v>1340.4006100000001</v>
      </c>
      <c r="X293">
        <f t="shared" si="24"/>
        <v>695.46323054740594</v>
      </c>
      <c r="Y293">
        <f t="shared" si="25"/>
        <v>644.9373794525942</v>
      </c>
      <c r="AB293">
        <v>769</v>
      </c>
      <c r="AC293">
        <v>751.76081000000011</v>
      </c>
      <c r="AD293">
        <f t="shared" si="26"/>
        <v>672.81075934978935</v>
      </c>
      <c r="AE293">
        <f t="shared" si="27"/>
        <v>78.950050650210756</v>
      </c>
    </row>
    <row r="294" spans="7:31" x14ac:dyDescent="0.2">
      <c r="G294">
        <v>771</v>
      </c>
      <c r="H294">
        <v>-252.95508999999993</v>
      </c>
      <c r="I294">
        <v>4.4236971718770975E-3</v>
      </c>
      <c r="J294">
        <f t="shared" si="23"/>
        <v>-262.01718499999993</v>
      </c>
      <c r="V294">
        <v>770</v>
      </c>
      <c r="W294">
        <v>1542.1487799999998</v>
      </c>
      <c r="X294">
        <f t="shared" si="24"/>
        <v>63.920200459020037</v>
      </c>
      <c r="Y294">
        <f t="shared" si="25"/>
        <v>1478.2285795409798</v>
      </c>
      <c r="AB294">
        <v>770</v>
      </c>
      <c r="AC294">
        <v>269.65087999999992</v>
      </c>
      <c r="AD294">
        <f t="shared" si="26"/>
        <v>61.838206133160227</v>
      </c>
      <c r="AE294">
        <f t="shared" si="27"/>
        <v>207.8126738668397</v>
      </c>
    </row>
    <row r="295" spans="7:31" x14ac:dyDescent="0.2">
      <c r="G295">
        <v>772</v>
      </c>
      <c r="H295">
        <v>-271.07927999999993</v>
      </c>
      <c r="I295">
        <v>4.2736568461724427E-3</v>
      </c>
      <c r="J295">
        <f t="shared" si="23"/>
        <v>-51.818125000000009</v>
      </c>
      <c r="V295">
        <v>771</v>
      </c>
      <c r="W295">
        <v>1637.6617899999999</v>
      </c>
      <c r="X295">
        <f t="shared" si="24"/>
        <v>455.8482037476889</v>
      </c>
      <c r="Y295">
        <f t="shared" si="25"/>
        <v>1181.8135862523109</v>
      </c>
      <c r="AB295">
        <v>771</v>
      </c>
      <c r="AC295">
        <v>1146.01099</v>
      </c>
      <c r="AD295">
        <f t="shared" si="26"/>
        <v>441.00041905927048</v>
      </c>
      <c r="AE295">
        <f t="shared" si="27"/>
        <v>705.01057094072951</v>
      </c>
    </row>
    <row r="296" spans="7:31" x14ac:dyDescent="0.2">
      <c r="G296">
        <v>773</v>
      </c>
      <c r="H296">
        <v>167.44302999999991</v>
      </c>
      <c r="I296">
        <v>7.903944887798435E-3</v>
      </c>
      <c r="J296">
        <f t="shared" si="23"/>
        <v>-198.51490500000006</v>
      </c>
      <c r="V296">
        <v>772</v>
      </c>
      <c r="W296">
        <v>2078.6922999999997</v>
      </c>
      <c r="X296">
        <f t="shared" si="24"/>
        <v>440.38701589852991</v>
      </c>
      <c r="Y296">
        <f t="shared" si="25"/>
        <v>1638.3052841014699</v>
      </c>
      <c r="AB296">
        <v>772</v>
      </c>
      <c r="AC296">
        <v>1204.52874</v>
      </c>
      <c r="AD296">
        <f t="shared" si="26"/>
        <v>426.04282952710429</v>
      </c>
      <c r="AE296">
        <f t="shared" si="27"/>
        <v>778.48591047289574</v>
      </c>
    </row>
    <row r="297" spans="7:31" x14ac:dyDescent="0.2">
      <c r="G297">
        <v>774</v>
      </c>
      <c r="H297">
        <v>-564.47284000000002</v>
      </c>
      <c r="I297">
        <v>1.8448109059098394E-3</v>
      </c>
      <c r="J297">
        <f t="shared" si="23"/>
        <v>-631.05895499999997</v>
      </c>
      <c r="V297">
        <v>773</v>
      </c>
      <c r="W297">
        <v>2005.4970599999999</v>
      </c>
      <c r="X297">
        <f t="shared" si="24"/>
        <v>814.47688203638779</v>
      </c>
      <c r="Y297">
        <f t="shared" si="25"/>
        <v>1191.0201779636122</v>
      </c>
      <c r="AB297">
        <v>773</v>
      </c>
      <c r="AC297">
        <v>1162.6965499999999</v>
      </c>
      <c r="AD297">
        <f t="shared" si="26"/>
        <v>787.94792507495117</v>
      </c>
      <c r="AE297">
        <f t="shared" si="27"/>
        <v>374.74862492504872</v>
      </c>
    </row>
    <row r="298" spans="7:31" x14ac:dyDescent="0.2">
      <c r="G298">
        <v>775</v>
      </c>
      <c r="H298">
        <v>-697.64507000000003</v>
      </c>
      <c r="I298">
        <v>7.4235034000233425E-4</v>
      </c>
      <c r="J298">
        <f t="shared" si="23"/>
        <v>-310.89502499999998</v>
      </c>
      <c r="V298">
        <v>774</v>
      </c>
      <c r="W298">
        <v>430.31197999999995</v>
      </c>
      <c r="X298">
        <f t="shared" si="24"/>
        <v>190.10201309876439</v>
      </c>
      <c r="Y298">
        <f t="shared" si="25"/>
        <v>240.20996690123556</v>
      </c>
      <c r="AB298">
        <v>774</v>
      </c>
      <c r="AC298">
        <v>62.593709999999874</v>
      </c>
      <c r="AD298">
        <f t="shared" si="26"/>
        <v>183.91005328380888</v>
      </c>
      <c r="AE298">
        <f t="shared" si="27"/>
        <v>-121.316343283809</v>
      </c>
    </row>
    <row r="299" spans="7:31" x14ac:dyDescent="0.2">
      <c r="G299">
        <v>776</v>
      </c>
      <c r="H299">
        <v>75.855020000000081</v>
      </c>
      <c r="I299">
        <v>7.1457374947485322E-3</v>
      </c>
      <c r="J299">
        <f t="shared" si="23"/>
        <v>-141.7482399999999</v>
      </c>
      <c r="V299">
        <v>775</v>
      </c>
      <c r="W299">
        <v>902.34030999999982</v>
      </c>
      <c r="X299">
        <f t="shared" si="24"/>
        <v>76.496888438219671</v>
      </c>
      <c r="Y299">
        <f t="shared" si="25"/>
        <v>825.84342156178013</v>
      </c>
      <c r="AB299">
        <v>775</v>
      </c>
      <c r="AC299">
        <v>50.575379999999996</v>
      </c>
      <c r="AD299">
        <f t="shared" si="26"/>
        <v>74.005249073346107</v>
      </c>
      <c r="AE299">
        <f t="shared" si="27"/>
        <v>-23.429869073346111</v>
      </c>
    </row>
    <row r="300" spans="7:31" x14ac:dyDescent="0.2">
      <c r="G300">
        <v>777</v>
      </c>
      <c r="H300">
        <v>-359.35149999999987</v>
      </c>
      <c r="I300">
        <v>3.5428990777164235E-3</v>
      </c>
      <c r="J300">
        <f t="shared" si="23"/>
        <v>-155.93330499999996</v>
      </c>
      <c r="V300">
        <v>776</v>
      </c>
      <c r="W300">
        <v>1551.0836600000002</v>
      </c>
      <c r="X300">
        <f t="shared" si="24"/>
        <v>736.34597371217342</v>
      </c>
      <c r="Y300">
        <f t="shared" si="25"/>
        <v>814.73768628782682</v>
      </c>
      <c r="AB300">
        <v>776</v>
      </c>
      <c r="AC300">
        <v>803.66912000000013</v>
      </c>
      <c r="AD300">
        <f t="shared" si="26"/>
        <v>712.3618790421117</v>
      </c>
      <c r="AE300">
        <f t="shared" si="27"/>
        <v>91.307240957888439</v>
      </c>
    </row>
    <row r="301" spans="7:31" x14ac:dyDescent="0.2">
      <c r="G301">
        <v>778</v>
      </c>
      <c r="H301">
        <v>47.48488999999995</v>
      </c>
      <c r="I301">
        <v>6.9108765963865424E-3</v>
      </c>
      <c r="J301">
        <f t="shared" si="23"/>
        <v>-56.867025000000069</v>
      </c>
      <c r="V301">
        <v>777</v>
      </c>
      <c r="W301">
        <v>1220.1471600000002</v>
      </c>
      <c r="X301">
        <f t="shared" si="24"/>
        <v>365.08470582109845</v>
      </c>
      <c r="Y301">
        <f t="shared" si="25"/>
        <v>855.06245417890182</v>
      </c>
      <c r="AB301">
        <v>777</v>
      </c>
      <c r="AC301">
        <v>593.75261</v>
      </c>
      <c r="AD301">
        <f t="shared" si="26"/>
        <v>353.19324927810726</v>
      </c>
      <c r="AE301">
        <f t="shared" si="27"/>
        <v>240.55936072189274</v>
      </c>
    </row>
    <row r="302" spans="7:31" x14ac:dyDescent="0.2">
      <c r="G302">
        <v>779</v>
      </c>
      <c r="H302">
        <v>-161.21894000000009</v>
      </c>
      <c r="I302">
        <v>5.183130935531694E-3</v>
      </c>
      <c r="J302">
        <f t="shared" si="23"/>
        <v>-137.88663500000001</v>
      </c>
      <c r="V302">
        <v>778</v>
      </c>
      <c r="W302">
        <v>1502.3509399999998</v>
      </c>
      <c r="X302">
        <f t="shared" si="24"/>
        <v>712.14429025845436</v>
      </c>
      <c r="Y302">
        <f t="shared" si="25"/>
        <v>790.20664974154545</v>
      </c>
      <c r="AB302">
        <v>778</v>
      </c>
      <c r="AC302">
        <v>477.7177999999999</v>
      </c>
      <c r="AD302">
        <f t="shared" si="26"/>
        <v>688.9484873532034</v>
      </c>
      <c r="AE302">
        <f t="shared" si="27"/>
        <v>-211.23068735320351</v>
      </c>
    </row>
    <row r="303" spans="7:31" x14ac:dyDescent="0.2">
      <c r="G303">
        <v>780</v>
      </c>
      <c r="H303">
        <v>-114.55432999999994</v>
      </c>
      <c r="I303">
        <v>5.5694418980232977E-3</v>
      </c>
      <c r="J303">
        <f t="shared" si="23"/>
        <v>-209.32720499999994</v>
      </c>
      <c r="V303">
        <v>779</v>
      </c>
      <c r="W303">
        <v>1266.7958599999999</v>
      </c>
      <c r="X303">
        <f t="shared" si="24"/>
        <v>534.105485739801</v>
      </c>
      <c r="Y303">
        <f t="shared" si="25"/>
        <v>732.69037426019895</v>
      </c>
      <c r="AB303">
        <v>779</v>
      </c>
      <c r="AC303">
        <v>578.32457999999997</v>
      </c>
      <c r="AD303">
        <f t="shared" si="26"/>
        <v>516.70872254545247</v>
      </c>
      <c r="AE303">
        <f t="shared" si="27"/>
        <v>61.615857454547495</v>
      </c>
    </row>
    <row r="304" spans="7:31" x14ac:dyDescent="0.2">
      <c r="G304">
        <v>781</v>
      </c>
      <c r="H304">
        <v>-304.10007999999993</v>
      </c>
      <c r="I304">
        <v>4.0002955766741503E-3</v>
      </c>
      <c r="J304">
        <f t="shared" si="23"/>
        <v>142.89674000000002</v>
      </c>
      <c r="V304">
        <v>780</v>
      </c>
      <c r="W304">
        <v>1035.3694600000001</v>
      </c>
      <c r="X304">
        <f t="shared" si="24"/>
        <v>573.91362619284985</v>
      </c>
      <c r="Y304">
        <f t="shared" si="25"/>
        <v>461.45583380715027</v>
      </c>
      <c r="AB304">
        <v>780</v>
      </c>
      <c r="AC304">
        <v>1122.7682300000001</v>
      </c>
      <c r="AD304">
        <f t="shared" si="26"/>
        <v>555.22024124276356</v>
      </c>
      <c r="AE304">
        <f t="shared" si="27"/>
        <v>567.54798875723657</v>
      </c>
    </row>
    <row r="305" spans="7:31" x14ac:dyDescent="0.2">
      <c r="G305">
        <v>782</v>
      </c>
      <c r="H305">
        <v>589.89355999999998</v>
      </c>
      <c r="I305">
        <v>1.1401183391439364E-2</v>
      </c>
      <c r="J305">
        <f t="shared" si="23"/>
        <v>21.364049999999963</v>
      </c>
      <c r="V305">
        <v>781</v>
      </c>
      <c r="W305">
        <v>739.61390000000006</v>
      </c>
      <c r="X305">
        <f t="shared" si="24"/>
        <v>412.21798921488187</v>
      </c>
      <c r="Y305">
        <f t="shared" si="25"/>
        <v>327.39591078511819</v>
      </c>
      <c r="AB305">
        <v>781</v>
      </c>
      <c r="AC305">
        <v>712.74738000000002</v>
      </c>
      <c r="AD305">
        <f t="shared" si="26"/>
        <v>398.79131801548618</v>
      </c>
      <c r="AE305">
        <f t="shared" si="27"/>
        <v>313.95606198451384</v>
      </c>
    </row>
    <row r="306" spans="7:31" x14ac:dyDescent="0.2">
      <c r="G306">
        <v>783</v>
      </c>
      <c r="H306">
        <v>-547.16546000000005</v>
      </c>
      <c r="I306">
        <v>1.9880893052366074E-3</v>
      </c>
      <c r="J306">
        <f t="shared" si="23"/>
        <v>-510.21431000000007</v>
      </c>
      <c r="V306">
        <v>782</v>
      </c>
      <c r="W306">
        <v>1002.1835799999999</v>
      </c>
      <c r="X306">
        <f t="shared" si="24"/>
        <v>1174.8564080348876</v>
      </c>
      <c r="Y306">
        <f t="shared" si="25"/>
        <v>-172.67282803488774</v>
      </c>
      <c r="AB306">
        <v>782</v>
      </c>
      <c r="AC306">
        <v>810.95762999999988</v>
      </c>
      <c r="AD306">
        <f t="shared" si="26"/>
        <v>1136.5892505844529</v>
      </c>
      <c r="AE306">
        <f t="shared" si="27"/>
        <v>-325.631620584453</v>
      </c>
    </row>
    <row r="307" spans="7:31" x14ac:dyDescent="0.2">
      <c r="G307">
        <v>784</v>
      </c>
      <c r="H307">
        <v>-473.26316000000008</v>
      </c>
      <c r="I307">
        <v>2.5998863103619718E-3</v>
      </c>
      <c r="J307">
        <f t="shared" si="23"/>
        <v>-116.3805200000001</v>
      </c>
      <c r="V307">
        <v>783</v>
      </c>
      <c r="W307">
        <v>834.17162999999982</v>
      </c>
      <c r="X307">
        <f t="shared" si="24"/>
        <v>204.86640551336475</v>
      </c>
      <c r="Y307">
        <f t="shared" si="25"/>
        <v>629.3052244866351</v>
      </c>
      <c r="AB307">
        <v>783</v>
      </c>
      <c r="AC307">
        <v>346.43586000000005</v>
      </c>
      <c r="AD307">
        <f t="shared" si="26"/>
        <v>198.19354324486213</v>
      </c>
      <c r="AE307">
        <f t="shared" si="27"/>
        <v>148.24231675513792</v>
      </c>
    </row>
    <row r="308" spans="7:31" x14ac:dyDescent="0.2">
      <c r="G308">
        <v>785</v>
      </c>
      <c r="H308">
        <v>240.50211999999988</v>
      </c>
      <c r="I308">
        <v>8.5087614152838369E-3</v>
      </c>
      <c r="J308">
        <f t="shared" si="23"/>
        <v>-65.579890000000034</v>
      </c>
      <c r="V308">
        <v>784</v>
      </c>
      <c r="W308">
        <v>608.91984999999977</v>
      </c>
      <c r="X308">
        <f t="shared" si="24"/>
        <v>267.91017976120133</v>
      </c>
      <c r="Y308">
        <f t="shared" si="25"/>
        <v>341.00967023879844</v>
      </c>
      <c r="AB308">
        <v>784</v>
      </c>
      <c r="AC308">
        <v>-397.44496000000004</v>
      </c>
      <c r="AD308">
        <f t="shared" si="26"/>
        <v>259.18386992335121</v>
      </c>
      <c r="AE308">
        <f t="shared" si="27"/>
        <v>-656.6288299233513</v>
      </c>
    </row>
    <row r="309" spans="7:31" x14ac:dyDescent="0.2">
      <c r="G309">
        <v>786</v>
      </c>
      <c r="H309">
        <v>-371.66189999999995</v>
      </c>
      <c r="I309">
        <v>3.4409879619338927E-3</v>
      </c>
      <c r="J309">
        <f t="shared" si="23"/>
        <v>-531.13727999999992</v>
      </c>
      <c r="V309">
        <v>785</v>
      </c>
      <c r="W309">
        <v>1163.2357500000001</v>
      </c>
      <c r="X309">
        <f t="shared" si="24"/>
        <v>876.80133982338998</v>
      </c>
      <c r="Y309">
        <f t="shared" si="25"/>
        <v>286.43441017661007</v>
      </c>
      <c r="AB309">
        <v>785</v>
      </c>
      <c r="AC309">
        <v>-178.07332999999994</v>
      </c>
      <c r="AD309">
        <f t="shared" si="26"/>
        <v>848.24236470583048</v>
      </c>
      <c r="AE309">
        <f t="shared" si="27"/>
        <v>-1026.3156947058305</v>
      </c>
    </row>
    <row r="310" spans="7:31" x14ac:dyDescent="0.2">
      <c r="G310">
        <v>787</v>
      </c>
      <c r="H310">
        <v>-690.61266000000001</v>
      </c>
      <c r="I310">
        <v>8.0056784306805316E-4</v>
      </c>
      <c r="J310">
        <f t="shared" si="23"/>
        <v>-595.50116500000001</v>
      </c>
      <c r="V310">
        <v>786</v>
      </c>
      <c r="W310">
        <v>839.95817000000011</v>
      </c>
      <c r="X310">
        <f t="shared" si="24"/>
        <v>354.58308302315345</v>
      </c>
      <c r="Y310">
        <f t="shared" si="25"/>
        <v>485.37508697684666</v>
      </c>
      <c r="AB310">
        <v>786</v>
      </c>
      <c r="AC310">
        <v>653.66157999999996</v>
      </c>
      <c r="AD310">
        <f t="shared" si="26"/>
        <v>343.03368296497661</v>
      </c>
      <c r="AE310">
        <f t="shared" si="27"/>
        <v>310.62789703502335</v>
      </c>
    </row>
    <row r="311" spans="7:31" x14ac:dyDescent="0.2">
      <c r="G311">
        <v>788</v>
      </c>
      <c r="H311">
        <v>-500.38967000000002</v>
      </c>
      <c r="I311">
        <v>2.3753206665659979E-3</v>
      </c>
      <c r="J311">
        <f t="shared" si="23"/>
        <v>38.877549999999985</v>
      </c>
      <c r="V311">
        <v>787</v>
      </c>
      <c r="W311">
        <v>621.52854000000002</v>
      </c>
      <c r="X311">
        <f t="shared" si="24"/>
        <v>82.496020650048393</v>
      </c>
      <c r="Y311">
        <f t="shared" si="25"/>
        <v>539.0325193499516</v>
      </c>
      <c r="AB311">
        <v>787</v>
      </c>
      <c r="AC311">
        <v>284.95406000000003</v>
      </c>
      <c r="AD311">
        <f t="shared" si="26"/>
        <v>79.808978906342844</v>
      </c>
      <c r="AE311">
        <f t="shared" si="27"/>
        <v>205.14508109365718</v>
      </c>
    </row>
    <row r="312" spans="7:31" x14ac:dyDescent="0.2">
      <c r="G312">
        <v>789</v>
      </c>
      <c r="H312">
        <v>578.14476999999999</v>
      </c>
      <c r="I312">
        <v>1.1303921539834654E-2</v>
      </c>
      <c r="J312">
        <f t="shared" si="23"/>
        <v>48.691335000000038</v>
      </c>
      <c r="V312">
        <v>788</v>
      </c>
      <c r="W312">
        <v>443.78458000000001</v>
      </c>
      <c r="X312">
        <f t="shared" si="24"/>
        <v>244.76939019752504</v>
      </c>
      <c r="Y312">
        <f t="shared" si="25"/>
        <v>199.01518980247496</v>
      </c>
      <c r="AB312">
        <v>788</v>
      </c>
      <c r="AC312">
        <v>39.560240000000022</v>
      </c>
      <c r="AD312">
        <f t="shared" si="26"/>
        <v>236.7968169284201</v>
      </c>
      <c r="AE312">
        <f t="shared" si="27"/>
        <v>-197.23657692842008</v>
      </c>
    </row>
    <row r="313" spans="7:31" x14ac:dyDescent="0.2">
      <c r="G313">
        <v>790</v>
      </c>
      <c r="H313">
        <v>-480.76209999999992</v>
      </c>
      <c r="I313">
        <v>2.5378066588001842E-3</v>
      </c>
      <c r="J313">
        <f t="shared" si="23"/>
        <v>-313.64099999999996</v>
      </c>
      <c r="V313">
        <v>789</v>
      </c>
      <c r="W313">
        <v>1016.0645499999999</v>
      </c>
      <c r="X313">
        <f t="shared" si="24"/>
        <v>1164.8338774175018</v>
      </c>
      <c r="Y313">
        <f t="shared" si="25"/>
        <v>-148.76932741750181</v>
      </c>
      <c r="AB313">
        <v>789</v>
      </c>
      <c r="AC313">
        <v>1087.6878099999999</v>
      </c>
      <c r="AD313">
        <f t="shared" si="26"/>
        <v>1126.8931715696326</v>
      </c>
      <c r="AE313">
        <f t="shared" si="27"/>
        <v>-39.205361569632714</v>
      </c>
    </row>
    <row r="314" spans="7:31" x14ac:dyDescent="0.2">
      <c r="G314">
        <v>791</v>
      </c>
      <c r="H314">
        <v>-146.51990000000001</v>
      </c>
      <c r="I314">
        <v>5.3048163045962288E-3</v>
      </c>
      <c r="J314">
        <f t="shared" si="23"/>
        <v>158.61259999999999</v>
      </c>
      <c r="V314">
        <v>790</v>
      </c>
      <c r="W314">
        <v>286.06071999999995</v>
      </c>
      <c r="X314">
        <f t="shared" si="24"/>
        <v>261.51306518617378</v>
      </c>
      <c r="Y314">
        <f t="shared" si="25"/>
        <v>24.547654813826171</v>
      </c>
      <c r="AB314">
        <v>790</v>
      </c>
      <c r="AC314">
        <v>-9.9586199999998826</v>
      </c>
      <c r="AD314">
        <f t="shared" si="26"/>
        <v>252.99512071876109</v>
      </c>
      <c r="AE314">
        <f t="shared" si="27"/>
        <v>-262.95374071876097</v>
      </c>
    </row>
    <row r="315" spans="7:31" x14ac:dyDescent="0.2">
      <c r="G315">
        <v>792</v>
      </c>
      <c r="H315">
        <v>463.74509999999998</v>
      </c>
      <c r="I315">
        <v>1.0356868802729988E-2</v>
      </c>
      <c r="J315">
        <f t="shared" si="23"/>
        <v>-94.893500000000074</v>
      </c>
      <c r="V315">
        <v>791</v>
      </c>
      <c r="W315">
        <v>1588.0220300000001</v>
      </c>
      <c r="X315">
        <f t="shared" si="24"/>
        <v>546.64478369696769</v>
      </c>
      <c r="Y315">
        <f t="shared" si="25"/>
        <v>1041.3772463030323</v>
      </c>
      <c r="AB315">
        <v>791</v>
      </c>
      <c r="AC315">
        <v>807.89120000000003</v>
      </c>
      <c r="AD315">
        <f t="shared" si="26"/>
        <v>528.83959332295433</v>
      </c>
      <c r="AE315">
        <f t="shared" si="27"/>
        <v>279.0516066770457</v>
      </c>
    </row>
    <row r="316" spans="7:31" x14ac:dyDescent="0.2">
      <c r="G316">
        <v>793</v>
      </c>
      <c r="H316">
        <v>-653.53210000000013</v>
      </c>
      <c r="I316">
        <v>1.107537660737751E-3</v>
      </c>
      <c r="J316">
        <f t="shared" si="23"/>
        <v>-720.42486000000008</v>
      </c>
      <c r="V316">
        <v>792</v>
      </c>
      <c r="W316">
        <v>1069.48756</v>
      </c>
      <c r="X316">
        <f t="shared" si="24"/>
        <v>1067.2430450684813</v>
      </c>
      <c r="Y316">
        <f t="shared" si="25"/>
        <v>2.2445149315187791</v>
      </c>
      <c r="AB316">
        <v>792</v>
      </c>
      <c r="AC316">
        <v>873.41513999999995</v>
      </c>
      <c r="AD316">
        <f t="shared" si="26"/>
        <v>1032.4810457601334</v>
      </c>
      <c r="AE316">
        <f t="shared" si="27"/>
        <v>-159.06590576013343</v>
      </c>
    </row>
    <row r="317" spans="7:31" x14ac:dyDescent="0.2">
      <c r="G317">
        <v>794</v>
      </c>
      <c r="H317">
        <v>-787.31762000000003</v>
      </c>
      <c r="I317">
        <v>0</v>
      </c>
      <c r="J317">
        <f t="shared" si="23"/>
        <v>-419.63395000000003</v>
      </c>
      <c r="V317">
        <v>793</v>
      </c>
      <c r="W317">
        <v>-143.60473000000002</v>
      </c>
      <c r="X317">
        <f t="shared" si="24"/>
        <v>114.12830345617692</v>
      </c>
      <c r="Y317">
        <f t="shared" si="25"/>
        <v>-257.73303345617694</v>
      </c>
      <c r="AB317">
        <v>793</v>
      </c>
      <c r="AC317">
        <v>-498.24104000000011</v>
      </c>
      <c r="AD317">
        <f t="shared" si="26"/>
        <v>110.4109421445818</v>
      </c>
      <c r="AE317">
        <f t="shared" si="27"/>
        <v>-608.65198214458189</v>
      </c>
    </row>
    <row r="318" spans="7:31" x14ac:dyDescent="0.2">
      <c r="G318">
        <v>795</v>
      </c>
      <c r="H318">
        <v>-51.950280000000021</v>
      </c>
      <c r="I318">
        <v>6.0877068275142403E-3</v>
      </c>
      <c r="J318">
        <f t="shared" si="23"/>
        <v>306.35140999999999</v>
      </c>
      <c r="V318">
        <v>794</v>
      </c>
      <c r="W318">
        <v>156.21527000000015</v>
      </c>
      <c r="X318">
        <f t="shared" si="24"/>
        <v>0</v>
      </c>
      <c r="Y318">
        <f t="shared" si="25"/>
        <v>156.21527000000015</v>
      </c>
      <c r="AB318">
        <v>794</v>
      </c>
      <c r="AC318">
        <v>212.97677999999996</v>
      </c>
      <c r="AD318">
        <f t="shared" si="26"/>
        <v>0</v>
      </c>
      <c r="AE318">
        <f t="shared" si="27"/>
        <v>212.97677999999996</v>
      </c>
    </row>
    <row r="319" spans="7:31" x14ac:dyDescent="0.2">
      <c r="G319">
        <v>796</v>
      </c>
      <c r="H319">
        <v>664.65309999999999</v>
      </c>
      <c r="I319">
        <v>1.2020077020954954E-2</v>
      </c>
      <c r="J319">
        <f t="shared" si="23"/>
        <v>-13.521489999999972</v>
      </c>
      <c r="V319">
        <v>795</v>
      </c>
      <c r="W319">
        <v>236.12749000000008</v>
      </c>
      <c r="X319">
        <f t="shared" si="24"/>
        <v>627.31921161035734</v>
      </c>
      <c r="Y319">
        <f t="shared" si="25"/>
        <v>-391.19172161035726</v>
      </c>
      <c r="AB319">
        <v>795</v>
      </c>
      <c r="AC319">
        <v>672.85563999999999</v>
      </c>
      <c r="AD319">
        <f t="shared" si="26"/>
        <v>606.88631199964743</v>
      </c>
      <c r="AE319">
        <f t="shared" si="27"/>
        <v>65.969328000352562</v>
      </c>
    </row>
    <row r="320" spans="7:31" x14ac:dyDescent="0.2">
      <c r="G320">
        <v>797</v>
      </c>
      <c r="H320">
        <v>-691.69607999999994</v>
      </c>
      <c r="I320">
        <v>7.9159879729690831E-4</v>
      </c>
      <c r="J320">
        <f t="shared" si="23"/>
        <v>-388.41972499999997</v>
      </c>
      <c r="V320">
        <v>796</v>
      </c>
      <c r="W320">
        <v>1171.9698100000001</v>
      </c>
      <c r="X320">
        <f t="shared" si="24"/>
        <v>1238.6314673041136</v>
      </c>
      <c r="Y320">
        <f t="shared" si="25"/>
        <v>-66.661657304113533</v>
      </c>
      <c r="AB320">
        <v>796</v>
      </c>
      <c r="AC320">
        <v>1269.4700700000001</v>
      </c>
      <c r="AD320">
        <f t="shared" si="26"/>
        <v>1198.2870430338569</v>
      </c>
      <c r="AE320">
        <f t="shared" si="27"/>
        <v>71.183026966143188</v>
      </c>
    </row>
    <row r="321" spans="7:31" x14ac:dyDescent="0.2">
      <c r="G321">
        <v>798</v>
      </c>
      <c r="H321">
        <v>-85.143370000000004</v>
      </c>
      <c r="I321">
        <v>5.8129192626771966E-3</v>
      </c>
      <c r="J321">
        <f t="shared" si="23"/>
        <v>-0.74209500000000617</v>
      </c>
      <c r="V321">
        <v>797</v>
      </c>
      <c r="W321">
        <v>1175.8158000000003</v>
      </c>
      <c r="X321">
        <f t="shared" si="24"/>
        <v>81.571788442179539</v>
      </c>
      <c r="Y321">
        <f t="shared" si="25"/>
        <v>1094.2440115578208</v>
      </c>
      <c r="AB321">
        <v>797</v>
      </c>
      <c r="AC321">
        <v>289.83368000000019</v>
      </c>
      <c r="AD321">
        <f t="shared" si="26"/>
        <v>78.914850581107984</v>
      </c>
      <c r="AE321">
        <f t="shared" si="27"/>
        <v>210.91882941889219</v>
      </c>
    </row>
    <row r="322" spans="7:31" x14ac:dyDescent="0.2">
      <c r="G322">
        <v>799</v>
      </c>
      <c r="H322">
        <v>83.659179999999992</v>
      </c>
      <c r="I322">
        <v>7.2103438969243665E-3</v>
      </c>
      <c r="J322">
        <f t="shared" si="23"/>
        <v>415.60701999999998</v>
      </c>
      <c r="V322">
        <v>798</v>
      </c>
      <c r="W322">
        <v>673.48738000000003</v>
      </c>
      <c r="X322">
        <f t="shared" si="24"/>
        <v>599.00320963818433</v>
      </c>
      <c r="Y322">
        <f t="shared" si="25"/>
        <v>74.4841703618157</v>
      </c>
      <c r="AB322">
        <v>798</v>
      </c>
      <c r="AC322">
        <v>610.79985999999985</v>
      </c>
      <c r="AD322">
        <f t="shared" si="26"/>
        <v>579.4926124453915</v>
      </c>
      <c r="AE322">
        <f t="shared" si="27"/>
        <v>31.307247554608352</v>
      </c>
    </row>
    <row r="323" spans="7:31" x14ac:dyDescent="0.2">
      <c r="G323">
        <v>800</v>
      </c>
      <c r="H323">
        <v>747.55485999999996</v>
      </c>
      <c r="I323">
        <v>1.2706375667784913E-2</v>
      </c>
      <c r="J323">
        <f t="shared" si="23"/>
        <v>-299021.94399999996</v>
      </c>
      <c r="V323">
        <v>799</v>
      </c>
      <c r="W323">
        <v>867.59462999999994</v>
      </c>
      <c r="X323">
        <f t="shared" si="24"/>
        <v>743.0034620614399</v>
      </c>
      <c r="Y323">
        <f t="shared" si="25"/>
        <v>124.59116793856003</v>
      </c>
      <c r="AB323">
        <v>799</v>
      </c>
      <c r="AC323">
        <v>784.74655999999993</v>
      </c>
      <c r="AD323">
        <f t="shared" si="26"/>
        <v>718.80252118520059</v>
      </c>
      <c r="AE323">
        <f t="shared" si="27"/>
        <v>65.944038814799342</v>
      </c>
    </row>
    <row r="324" spans="7:31" x14ac:dyDescent="0.2">
      <c r="V324">
        <v>800</v>
      </c>
      <c r="W324">
        <v>1702.7436300000002</v>
      </c>
      <c r="X324">
        <f t="shared" si="24"/>
        <v>1309.3524034886211</v>
      </c>
      <c r="Y324">
        <f t="shared" si="25"/>
        <v>393.39122651137905</v>
      </c>
      <c r="AB324">
        <v>800</v>
      </c>
      <c r="AC324">
        <v>255.29893000000004</v>
      </c>
      <c r="AD324">
        <f t="shared" si="26"/>
        <v>1266.704472865157</v>
      </c>
      <c r="AE324">
        <f t="shared" si="27"/>
        <v>-1011.4055428651569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A0BA3-E9D0-4490-9C3C-CB1903750C26}">
  <dimension ref="A1:Q2"/>
  <sheetViews>
    <sheetView tabSelected="1" workbookViewId="0">
      <selection activeCell="O12" sqref="O12"/>
    </sheetView>
  </sheetViews>
  <sheetFormatPr baseColWidth="10" defaultRowHeight="12.75" x14ac:dyDescent="0.2"/>
  <cols>
    <col min="3" max="3" width="13.140625" bestFit="1" customWidth="1"/>
    <col min="4" max="4" width="13.140625" customWidth="1"/>
    <col min="5" max="5" width="13.5703125" bestFit="1" customWidth="1"/>
    <col min="6" max="6" width="18.28515625" bestFit="1" customWidth="1"/>
    <col min="7" max="7" width="17.140625" bestFit="1" customWidth="1"/>
    <col min="8" max="8" width="22.140625" bestFit="1" customWidth="1"/>
    <col min="12" max="12" width="12.85546875" bestFit="1" customWidth="1"/>
    <col min="13" max="13" width="12.85546875" customWidth="1"/>
    <col min="14" max="14" width="13.28515625" bestFit="1" customWidth="1"/>
    <col min="15" max="15" width="18.28515625" bestFit="1" customWidth="1"/>
    <col min="16" max="16" width="17.140625" bestFit="1" customWidth="1"/>
    <col min="17" max="17" width="22.140625" bestFit="1" customWidth="1"/>
  </cols>
  <sheetData>
    <row r="1" spans="1:17" x14ac:dyDescent="0.2">
      <c r="A1" s="26" t="s">
        <v>38</v>
      </c>
      <c r="B1" s="16" t="s">
        <v>45</v>
      </c>
      <c r="C1" s="16" t="s">
        <v>46</v>
      </c>
      <c r="D1" s="26" t="s">
        <v>37</v>
      </c>
      <c r="E1" s="16" t="s">
        <v>51</v>
      </c>
      <c r="F1" s="26" t="s">
        <v>48</v>
      </c>
      <c r="G1" s="26" t="s">
        <v>50</v>
      </c>
      <c r="H1" s="16" t="s">
        <v>49</v>
      </c>
      <c r="J1" s="26" t="s">
        <v>39</v>
      </c>
      <c r="K1" s="16" t="s">
        <v>44</v>
      </c>
      <c r="L1" s="16" t="s">
        <v>47</v>
      </c>
      <c r="M1" s="26" t="s">
        <v>36</v>
      </c>
      <c r="N1" s="16" t="s">
        <v>52</v>
      </c>
      <c r="O1" s="26" t="s">
        <v>48</v>
      </c>
      <c r="P1" s="26" t="s">
        <v>50</v>
      </c>
      <c r="Q1" s="16" t="s">
        <v>49</v>
      </c>
    </row>
    <row r="2" spans="1:17" x14ac:dyDescent="0.2">
      <c r="A2" s="27">
        <f>Verhältnismethode!O3</f>
        <v>0.51172010380257504</v>
      </c>
      <c r="B2" s="25">
        <f>0.008+0.679*A2+1.47*(A2^2)-1.141*(A2^3)</f>
        <v>0.58749701472471882</v>
      </c>
      <c r="C2" s="25">
        <f>(('Rechnung R0'!AC3^6/B2)-'Rechnung R0'!AC3^6)^(1/6)</f>
        <v>52.270734485298469</v>
      </c>
      <c r="D2" s="27">
        <f>Verhältnismethode!Q3</f>
        <v>55.012463245163836</v>
      </c>
      <c r="E2" s="25">
        <v>46.4</v>
      </c>
      <c r="F2" s="27">
        <f>(C2-D2)/C2*100</f>
        <v>-5.2452462871676282</v>
      </c>
      <c r="G2" s="27">
        <f>(E2-D2)/E2*100</f>
        <v>-18.561343200784133</v>
      </c>
      <c r="H2" s="25">
        <f>(E2-C2)/E2*100</f>
        <v>-12.652445011419116</v>
      </c>
      <c r="J2" s="27">
        <f>Verhältnismethode!P3</f>
        <v>0.26134715482269361</v>
      </c>
      <c r="K2" s="25">
        <f>0.008+0.679*J2+1.47*(J2^2)-1.141*(J2^3)</f>
        <v>0.26549159249617788</v>
      </c>
      <c r="L2" s="25">
        <f>(('Rechnung R0'!AC3^6/K2)-'Rechnung R0'!AC3^6)^(1/6)</f>
        <v>65.692032210599692</v>
      </c>
      <c r="M2" s="27">
        <f>Verhältnismethode!R3</f>
        <v>65.926314379052641</v>
      </c>
      <c r="N2" s="25">
        <v>66.099999999999994</v>
      </c>
      <c r="O2" s="27">
        <f>(L2-M2)/L2*100</f>
        <v>-0.35663711498812067</v>
      </c>
      <c r="P2" s="27">
        <f>(N2-M2)/N2*100</f>
        <v>0.26276190763593493</v>
      </c>
      <c r="Q2" s="25">
        <f>(N2-L2)/N2*100</f>
        <v>0.61719786596112358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Messdaten</vt:lpstr>
      <vt:lpstr>Rechnung R0</vt:lpstr>
      <vt:lpstr>Verhältnismethode</vt:lpstr>
      <vt:lpstr>3D-Modelle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MPC_Work_Froescher</dc:creator>
  <cp:lastModifiedBy>Lena-Marie Aßmann</cp:lastModifiedBy>
  <dcterms:created xsi:type="dcterms:W3CDTF">1996-10-14T23:33:28Z</dcterms:created>
  <dcterms:modified xsi:type="dcterms:W3CDTF">2026-01-15T21:16:28Z</dcterms:modified>
</cp:coreProperties>
</file>