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a\OneDrive\PC\OneDrive\Desktop\FRET\"/>
    </mc:Choice>
  </mc:AlternateContent>
  <xr:revisionPtr revIDLastSave="0" documentId="13_ncr:1_{5850D1B9-DFA6-4746-A036-E284DB46E08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Messdaten" sheetId="4" r:id="rId1"/>
    <sheet name="Korrigiert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" i="5" l="1"/>
  <c r="AB2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A136" i="5"/>
  <c r="AA137" i="5"/>
  <c r="AA138" i="5"/>
  <c r="AA139" i="5"/>
  <c r="AA140" i="5"/>
  <c r="AA141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172" i="5"/>
  <c r="AA173" i="5"/>
  <c r="AA174" i="5"/>
  <c r="AA175" i="5"/>
  <c r="AA176" i="5"/>
  <c r="AA177" i="5"/>
  <c r="AA178" i="5"/>
  <c r="AA179" i="5"/>
  <c r="AA180" i="5"/>
  <c r="AA181" i="5"/>
  <c r="AA3" i="5"/>
  <c r="AA2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3" i="5"/>
  <c r="Z2" i="5"/>
  <c r="Y147" i="5"/>
  <c r="Y148" i="5"/>
  <c r="Y149" i="5"/>
  <c r="Y150" i="5"/>
  <c r="Y151" i="5"/>
  <c r="Y152" i="5"/>
  <c r="Y153" i="5"/>
  <c r="Y154" i="5"/>
  <c r="Y155" i="5"/>
  <c r="Y156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82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Y143" i="5"/>
  <c r="Y144" i="5"/>
  <c r="Y145" i="5"/>
  <c r="Y146" i="5"/>
  <c r="Y3" i="5"/>
  <c r="Y2" i="5"/>
  <c r="F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" i="5"/>
  <c r="U3" i="5" a="1"/>
  <c r="U3" i="5" s="1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" i="5"/>
  <c r="Q3" i="5" a="1"/>
  <c r="Q3" i="5" s="1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P246" i="5" s="1"/>
  <c r="N247" i="5"/>
  <c r="N248" i="5"/>
  <c r="N249" i="5"/>
  <c r="N250" i="5"/>
  <c r="N251" i="5"/>
  <c r="N252" i="5"/>
  <c r="N253" i="5"/>
  <c r="N254" i="5"/>
  <c r="N255" i="5"/>
  <c r="N256" i="5"/>
  <c r="N257" i="5"/>
  <c r="N258" i="5"/>
  <c r="P258" i="5" s="1"/>
  <c r="N259" i="5"/>
  <c r="N260" i="5"/>
  <c r="N261" i="5"/>
  <c r="N262" i="5"/>
  <c r="N263" i="5"/>
  <c r="N3" i="5"/>
  <c r="M3" i="5" a="1"/>
  <c r="M3" i="5" s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L128" i="5" s="1"/>
  <c r="J129" i="5"/>
  <c r="J130" i="5"/>
  <c r="J131" i="5"/>
  <c r="J132" i="5"/>
  <c r="J133" i="5"/>
  <c r="J134" i="5"/>
  <c r="J135" i="5"/>
  <c r="J136" i="5"/>
  <c r="J137" i="5"/>
  <c r="J138" i="5"/>
  <c r="J139" i="5"/>
  <c r="J140" i="5"/>
  <c r="L140" i="5" s="1"/>
  <c r="J141" i="5"/>
  <c r="J142" i="5"/>
  <c r="J143" i="5"/>
  <c r="J144" i="5"/>
  <c r="J145" i="5"/>
  <c r="J146" i="5"/>
  <c r="J147" i="5"/>
  <c r="J148" i="5"/>
  <c r="J149" i="5"/>
  <c r="J150" i="5"/>
  <c r="J151" i="5"/>
  <c r="J152" i="5"/>
  <c r="L152" i="5" s="1"/>
  <c r="J153" i="5"/>
  <c r="J154" i="5"/>
  <c r="J155" i="5"/>
  <c r="J156" i="5"/>
  <c r="J157" i="5"/>
  <c r="J158" i="5"/>
  <c r="J159" i="5"/>
  <c r="J160" i="5"/>
  <c r="J161" i="5"/>
  <c r="J162" i="5"/>
  <c r="J163" i="5"/>
  <c r="J164" i="5"/>
  <c r="L164" i="5" s="1"/>
  <c r="J165" i="5"/>
  <c r="J166" i="5"/>
  <c r="J167" i="5"/>
  <c r="J168" i="5"/>
  <c r="J169" i="5"/>
  <c r="J170" i="5"/>
  <c r="J171" i="5"/>
  <c r="J172" i="5"/>
  <c r="J173" i="5"/>
  <c r="J174" i="5"/>
  <c r="J175" i="5"/>
  <c r="J176" i="5"/>
  <c r="L176" i="5" s="1"/>
  <c r="J177" i="5"/>
  <c r="J178" i="5"/>
  <c r="J179" i="5"/>
  <c r="J180" i="5"/>
  <c r="J181" i="5"/>
  <c r="J182" i="5"/>
  <c r="J183" i="5"/>
  <c r="J3" i="5"/>
  <c r="I3" i="5" a="1"/>
  <c r="I3" i="5" s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H66" i="5" s="1"/>
  <c r="F67" i="5"/>
  <c r="F68" i="5"/>
  <c r="F69" i="5"/>
  <c r="F70" i="5"/>
  <c r="F71" i="5"/>
  <c r="F72" i="5"/>
  <c r="F73" i="5"/>
  <c r="F74" i="5"/>
  <c r="F75" i="5"/>
  <c r="F76" i="5"/>
  <c r="F77" i="5"/>
  <c r="F78" i="5"/>
  <c r="H78" i="5" s="1"/>
  <c r="F79" i="5"/>
  <c r="F80" i="5"/>
  <c r="F81" i="5"/>
  <c r="F82" i="5"/>
  <c r="F83" i="5"/>
  <c r="F84" i="5"/>
  <c r="F85" i="5"/>
  <c r="F86" i="5"/>
  <c r="F87" i="5"/>
  <c r="F88" i="5"/>
  <c r="F89" i="5"/>
  <c r="F90" i="5"/>
  <c r="H90" i="5" s="1"/>
  <c r="F91" i="5"/>
  <c r="F92" i="5"/>
  <c r="F93" i="5"/>
  <c r="F94" i="5"/>
  <c r="F95" i="5"/>
  <c r="F96" i="5"/>
  <c r="F97" i="5"/>
  <c r="F98" i="5"/>
  <c r="F99" i="5"/>
  <c r="F100" i="5"/>
  <c r="F101" i="5"/>
  <c r="F102" i="5"/>
  <c r="H102" i="5" s="1"/>
  <c r="F103" i="5"/>
  <c r="F104" i="5"/>
  <c r="F105" i="5"/>
  <c r="F106" i="5"/>
  <c r="F107" i="5"/>
  <c r="F108" i="5"/>
  <c r="F109" i="5"/>
  <c r="F110" i="5"/>
  <c r="F111" i="5"/>
  <c r="F112" i="5"/>
  <c r="F113" i="5"/>
  <c r="E3" i="5" a="1"/>
  <c r="E3" i="5" s="1"/>
  <c r="B4" i="5"/>
  <c r="D90" i="5" s="1"/>
  <c r="B5" i="5"/>
  <c r="B6" i="5"/>
  <c r="B7" i="5"/>
  <c r="B8" i="5"/>
  <c r="B9" i="5"/>
  <c r="B10" i="5"/>
  <c r="B11" i="5"/>
  <c r="B12" i="5"/>
  <c r="B13" i="5"/>
  <c r="B14" i="5"/>
  <c r="B15" i="5"/>
  <c r="D229" i="5" s="1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D88" i="5" s="1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D219" i="5" s="1"/>
  <c r="B220" i="5"/>
  <c r="B221" i="5"/>
  <c r="B222" i="5"/>
  <c r="B223" i="5"/>
  <c r="B224" i="5"/>
  <c r="B225" i="5"/>
  <c r="B226" i="5"/>
  <c r="B227" i="5"/>
  <c r="B228" i="5"/>
  <c r="B229" i="5"/>
  <c r="B230" i="5"/>
  <c r="B231" i="5"/>
  <c r="D231" i="5" s="1"/>
  <c r="B232" i="5"/>
  <c r="B233" i="5"/>
  <c r="B234" i="5"/>
  <c r="B235" i="5"/>
  <c r="B236" i="5"/>
  <c r="B237" i="5"/>
  <c r="B238" i="5"/>
  <c r="B239" i="5"/>
  <c r="B240" i="5"/>
  <c r="B241" i="5"/>
  <c r="B242" i="5"/>
  <c r="B243" i="5"/>
  <c r="D243" i="5" s="1"/>
  <c r="B244" i="5"/>
  <c r="B245" i="5"/>
  <c r="B246" i="5"/>
  <c r="B247" i="5"/>
  <c r="B248" i="5"/>
  <c r="B249" i="5"/>
  <c r="B250" i="5"/>
  <c r="B251" i="5"/>
  <c r="B252" i="5"/>
  <c r="B253" i="5"/>
  <c r="B254" i="5"/>
  <c r="B255" i="5"/>
  <c r="D255" i="5" s="1"/>
  <c r="B256" i="5"/>
  <c r="B257" i="5"/>
  <c r="B258" i="5"/>
  <c r="B259" i="5"/>
  <c r="B260" i="5"/>
  <c r="B261" i="5"/>
  <c r="B262" i="5"/>
  <c r="B263" i="5"/>
  <c r="B264" i="5"/>
  <c r="B265" i="5"/>
  <c r="B266" i="5"/>
  <c r="B267" i="5"/>
  <c r="D267" i="5" s="1"/>
  <c r="B268" i="5"/>
  <c r="B269" i="5"/>
  <c r="B270" i="5"/>
  <c r="B271" i="5"/>
  <c r="B272" i="5"/>
  <c r="B273" i="5"/>
  <c r="B274" i="5"/>
  <c r="B275" i="5"/>
  <c r="B276" i="5"/>
  <c r="B277" i="5"/>
  <c r="B278" i="5"/>
  <c r="B279" i="5"/>
  <c r="D279" i="5" s="1"/>
  <c r="B280" i="5"/>
  <c r="B281" i="5"/>
  <c r="B282" i="5"/>
  <c r="B283" i="5"/>
  <c r="B284" i="5"/>
  <c r="B285" i="5"/>
  <c r="B286" i="5"/>
  <c r="B287" i="5"/>
  <c r="B288" i="5"/>
  <c r="B289" i="5"/>
  <c r="B290" i="5"/>
  <c r="B291" i="5"/>
  <c r="D291" i="5" s="1"/>
  <c r="B292" i="5"/>
  <c r="B293" i="5"/>
  <c r="B294" i="5"/>
  <c r="B295" i="5"/>
  <c r="B296" i="5"/>
  <c r="B297" i="5"/>
  <c r="B298" i="5"/>
  <c r="B299" i="5"/>
  <c r="B300" i="5"/>
  <c r="B301" i="5"/>
  <c r="B302" i="5"/>
  <c r="B303" i="5"/>
  <c r="D303" i="5" s="1"/>
  <c r="B304" i="5"/>
  <c r="B305" i="5"/>
  <c r="B306" i="5"/>
  <c r="B307" i="5"/>
  <c r="B308" i="5"/>
  <c r="B309" i="5"/>
  <c r="B310" i="5"/>
  <c r="B311" i="5"/>
  <c r="B312" i="5"/>
  <c r="B313" i="5"/>
  <c r="B314" i="5"/>
  <c r="B315" i="5"/>
  <c r="D315" i="5" s="1"/>
  <c r="B316" i="5"/>
  <c r="B317" i="5"/>
  <c r="B318" i="5"/>
  <c r="B319" i="5"/>
  <c r="B320" i="5"/>
  <c r="B321" i="5"/>
  <c r="B322" i="5"/>
  <c r="B323" i="5"/>
  <c r="B3" i="5"/>
  <c r="A3" i="5" a="1"/>
  <c r="A3" i="5" s="1"/>
  <c r="D159" i="5" l="1"/>
  <c r="D39" i="5"/>
  <c r="D192" i="5"/>
  <c r="H27" i="5"/>
  <c r="D227" i="5"/>
  <c r="D171" i="5"/>
  <c r="D27" i="5"/>
  <c r="H99" i="5"/>
  <c r="D322" i="5"/>
  <c r="D310" i="5"/>
  <c r="D298" i="5"/>
  <c r="D286" i="5"/>
  <c r="D274" i="5"/>
  <c r="D262" i="5"/>
  <c r="D250" i="5"/>
  <c r="D238" i="5"/>
  <c r="D226" i="5"/>
  <c r="D214" i="5"/>
  <c r="D202" i="5"/>
  <c r="D190" i="5"/>
  <c r="D142" i="5"/>
  <c r="D58" i="5"/>
  <c r="D34" i="5"/>
  <c r="D179" i="5"/>
  <c r="D183" i="5"/>
  <c r="D75" i="5"/>
  <c r="D15" i="5"/>
  <c r="L8" i="5"/>
  <c r="H111" i="5"/>
  <c r="D189" i="5"/>
  <c r="D177" i="5"/>
  <c r="D176" i="5"/>
  <c r="D111" i="5"/>
  <c r="H18" i="5"/>
  <c r="L56" i="5"/>
  <c r="D203" i="5"/>
  <c r="L20" i="5"/>
  <c r="H39" i="5"/>
  <c r="L127" i="5"/>
  <c r="D207" i="5"/>
  <c r="D99" i="5"/>
  <c r="D63" i="5"/>
  <c r="H54" i="5"/>
  <c r="H6" i="5"/>
  <c r="L68" i="5"/>
  <c r="D138" i="5"/>
  <c r="D161" i="5"/>
  <c r="D113" i="5"/>
  <c r="D29" i="5"/>
  <c r="L124" i="5"/>
  <c r="D195" i="5"/>
  <c r="L44" i="5"/>
  <c r="D316" i="5"/>
  <c r="D304" i="5"/>
  <c r="D292" i="5"/>
  <c r="D280" i="5"/>
  <c r="D268" i="5"/>
  <c r="D256" i="5"/>
  <c r="D244" i="5"/>
  <c r="D232" i="5"/>
  <c r="D220" i="5"/>
  <c r="D208" i="5"/>
  <c r="D196" i="5"/>
  <c r="D184" i="5"/>
  <c r="D172" i="5"/>
  <c r="D160" i="5"/>
  <c r="D148" i="5"/>
  <c r="D136" i="5"/>
  <c r="D124" i="5"/>
  <c r="D112" i="5"/>
  <c r="D100" i="5"/>
  <c r="D76" i="5"/>
  <c r="D64" i="5"/>
  <c r="D52" i="5"/>
  <c r="D40" i="5"/>
  <c r="D28" i="5"/>
  <c r="D16" i="5"/>
  <c r="D4" i="5"/>
  <c r="D164" i="5"/>
  <c r="H103" i="5"/>
  <c r="H91" i="5"/>
  <c r="H79" i="5"/>
  <c r="H67" i="5"/>
  <c r="H55" i="5"/>
  <c r="H43" i="5"/>
  <c r="H31" i="5"/>
  <c r="H19" i="5"/>
  <c r="H7" i="5"/>
  <c r="L177" i="5"/>
  <c r="L165" i="5"/>
  <c r="D135" i="5"/>
  <c r="L116" i="5"/>
  <c r="L80" i="5"/>
  <c r="L32" i="5"/>
  <c r="P210" i="5"/>
  <c r="P174" i="5"/>
  <c r="P138" i="5"/>
  <c r="P114" i="5"/>
  <c r="P78" i="5"/>
  <c r="P42" i="5"/>
  <c r="P30" i="5"/>
  <c r="P18" i="5"/>
  <c r="D323" i="5"/>
  <c r="D147" i="5"/>
  <c r="D87" i="5"/>
  <c r="D51" i="5"/>
  <c r="H42" i="5"/>
  <c r="H30" i="5"/>
  <c r="L104" i="5"/>
  <c r="P222" i="5"/>
  <c r="P186" i="5"/>
  <c r="P150" i="5"/>
  <c r="P102" i="5"/>
  <c r="P66" i="5"/>
  <c r="P6" i="5"/>
  <c r="D314" i="5"/>
  <c r="D290" i="5"/>
  <c r="D266" i="5"/>
  <c r="D242" i="5"/>
  <c r="D218" i="5"/>
  <c r="D194" i="5"/>
  <c r="D158" i="5"/>
  <c r="D134" i="5"/>
  <c r="D110" i="5"/>
  <c r="D86" i="5"/>
  <c r="D62" i="5"/>
  <c r="D38" i="5"/>
  <c r="D14" i="5"/>
  <c r="H101" i="5"/>
  <c r="H89" i="5"/>
  <c r="H17" i="5"/>
  <c r="L175" i="5"/>
  <c r="L163" i="5"/>
  <c r="L115" i="5"/>
  <c r="L79" i="5"/>
  <c r="L67" i="5"/>
  <c r="L31" i="5"/>
  <c r="L19" i="5"/>
  <c r="P61" i="5"/>
  <c r="D277" i="5"/>
  <c r="P289" i="5"/>
  <c r="D123" i="5"/>
  <c r="L92" i="5"/>
  <c r="P234" i="5"/>
  <c r="P198" i="5"/>
  <c r="P162" i="5"/>
  <c r="P126" i="5"/>
  <c r="P90" i="5"/>
  <c r="P54" i="5"/>
  <c r="D302" i="5"/>
  <c r="D278" i="5"/>
  <c r="D254" i="5"/>
  <c r="D230" i="5"/>
  <c r="D206" i="5"/>
  <c r="D182" i="5"/>
  <c r="D170" i="5"/>
  <c r="D146" i="5"/>
  <c r="D122" i="5"/>
  <c r="D98" i="5"/>
  <c r="D74" i="5"/>
  <c r="D50" i="5"/>
  <c r="D26" i="5"/>
  <c r="H113" i="5"/>
  <c r="D313" i="5"/>
  <c r="D301" i="5"/>
  <c r="D289" i="5"/>
  <c r="D265" i="5"/>
  <c r="D253" i="5"/>
  <c r="D241" i="5"/>
  <c r="D217" i="5"/>
  <c r="D205" i="5"/>
  <c r="D275" i="5"/>
  <c r="P277" i="5"/>
  <c r="H41" i="5"/>
  <c r="P257" i="5"/>
  <c r="P185" i="5"/>
  <c r="P125" i="5"/>
  <c r="P65" i="5"/>
  <c r="P29" i="5"/>
  <c r="P17" i="5"/>
  <c r="P266" i="5"/>
  <c r="H29" i="5"/>
  <c r="P221" i="5"/>
  <c r="P137" i="5"/>
  <c r="P77" i="5"/>
  <c r="D181" i="5"/>
  <c r="H40" i="5"/>
  <c r="L162" i="5"/>
  <c r="L102" i="5"/>
  <c r="L90" i="5"/>
  <c r="L54" i="5"/>
  <c r="L30" i="5"/>
  <c r="L6" i="5"/>
  <c r="P217" i="5"/>
  <c r="D276" i="5"/>
  <c r="D216" i="5"/>
  <c r="D168" i="5"/>
  <c r="D120" i="5"/>
  <c r="D72" i="5"/>
  <c r="D36" i="5"/>
  <c r="H51" i="5"/>
  <c r="L173" i="5"/>
  <c r="L113" i="5"/>
  <c r="L65" i="5"/>
  <c r="L5" i="5"/>
  <c r="P207" i="5"/>
  <c r="P159" i="5"/>
  <c r="P147" i="5"/>
  <c r="P135" i="5"/>
  <c r="P111" i="5"/>
  <c r="P63" i="5"/>
  <c r="P51" i="5"/>
  <c r="P39" i="5"/>
  <c r="P27" i="5"/>
  <c r="P15" i="5"/>
  <c r="D311" i="5"/>
  <c r="D263" i="5"/>
  <c r="D215" i="5"/>
  <c r="L76" i="5"/>
  <c r="P205" i="5"/>
  <c r="D191" i="5"/>
  <c r="L3" i="5"/>
  <c r="L160" i="5"/>
  <c r="L148" i="5"/>
  <c r="L136" i="5"/>
  <c r="L112" i="5"/>
  <c r="L100" i="5"/>
  <c r="L88" i="5"/>
  <c r="L64" i="5"/>
  <c r="L52" i="5"/>
  <c r="L40" i="5"/>
  <c r="L16" i="5"/>
  <c r="L4" i="5"/>
  <c r="P254" i="5"/>
  <c r="P242" i="5"/>
  <c r="P230" i="5"/>
  <c r="P218" i="5"/>
  <c r="P206" i="5"/>
  <c r="P182" i="5"/>
  <c r="P170" i="5"/>
  <c r="P158" i="5"/>
  <c r="P146" i="5"/>
  <c r="P134" i="5"/>
  <c r="P110" i="5"/>
  <c r="P98" i="5"/>
  <c r="P86" i="5"/>
  <c r="P74" i="5"/>
  <c r="P62" i="5"/>
  <c r="P38" i="5"/>
  <c r="P26" i="5"/>
  <c r="P14" i="5"/>
  <c r="D54" i="5"/>
  <c r="P194" i="5"/>
  <c r="H77" i="5"/>
  <c r="L151" i="5"/>
  <c r="L55" i="5"/>
  <c r="P233" i="5"/>
  <c r="P161" i="5"/>
  <c r="P89" i="5"/>
  <c r="L150" i="5"/>
  <c r="L125" i="5"/>
  <c r="L53" i="5"/>
  <c r="P255" i="5"/>
  <c r="P195" i="5"/>
  <c r="P123" i="5"/>
  <c r="D178" i="5"/>
  <c r="D154" i="5"/>
  <c r="D130" i="5"/>
  <c r="D106" i="5"/>
  <c r="D70" i="5"/>
  <c r="D22" i="5"/>
  <c r="H109" i="5"/>
  <c r="H85" i="5"/>
  <c r="H73" i="5"/>
  <c r="H61" i="5"/>
  <c r="H49" i="5"/>
  <c r="H25" i="5"/>
  <c r="H13" i="5"/>
  <c r="L183" i="5"/>
  <c r="L171" i="5"/>
  <c r="L159" i="5"/>
  <c r="L147" i="5"/>
  <c r="L135" i="5"/>
  <c r="L123" i="5"/>
  <c r="L111" i="5"/>
  <c r="L99" i="5"/>
  <c r="L87" i="5"/>
  <c r="L75" i="5"/>
  <c r="L63" i="5"/>
  <c r="L51" i="5"/>
  <c r="L39" i="5"/>
  <c r="L27" i="5"/>
  <c r="L15" i="5"/>
  <c r="P253" i="5"/>
  <c r="P241" i="5"/>
  <c r="P229" i="5"/>
  <c r="P193" i="5"/>
  <c r="P181" i="5"/>
  <c r="P169" i="5"/>
  <c r="P157" i="5"/>
  <c r="P121" i="5"/>
  <c r="P109" i="5"/>
  <c r="P97" i="5"/>
  <c r="P85" i="5"/>
  <c r="P49" i="5"/>
  <c r="P37" i="5"/>
  <c r="P25" i="5"/>
  <c r="P13" i="5"/>
  <c r="P145" i="5"/>
  <c r="H112" i="5"/>
  <c r="H64" i="5"/>
  <c r="L114" i="5"/>
  <c r="D300" i="5"/>
  <c r="D252" i="5"/>
  <c r="D204" i="5"/>
  <c r="D156" i="5"/>
  <c r="D108" i="5"/>
  <c r="D60" i="5"/>
  <c r="D12" i="5"/>
  <c r="H75" i="5"/>
  <c r="L149" i="5"/>
  <c r="L89" i="5"/>
  <c r="L41" i="5"/>
  <c r="P243" i="5"/>
  <c r="P171" i="5"/>
  <c r="P87" i="5"/>
  <c r="D166" i="5"/>
  <c r="D118" i="5"/>
  <c r="D94" i="5"/>
  <c r="D82" i="5"/>
  <c r="D46" i="5"/>
  <c r="D10" i="5"/>
  <c r="H97" i="5"/>
  <c r="H37" i="5"/>
  <c r="D321" i="5"/>
  <c r="D309" i="5"/>
  <c r="D297" i="5"/>
  <c r="D285" i="5"/>
  <c r="D273" i="5"/>
  <c r="D261" i="5"/>
  <c r="D249" i="5"/>
  <c r="D237" i="5"/>
  <c r="D225" i="5"/>
  <c r="D213" i="5"/>
  <c r="D201" i="5"/>
  <c r="D165" i="5"/>
  <c r="D153" i="5"/>
  <c r="D141" i="5"/>
  <c r="D129" i="5"/>
  <c r="D117" i="5"/>
  <c r="D105" i="5"/>
  <c r="D93" i="5"/>
  <c r="P314" i="5"/>
  <c r="D299" i="5"/>
  <c r="D251" i="5"/>
  <c r="L28" i="5"/>
  <c r="P133" i="5"/>
  <c r="D56" i="5"/>
  <c r="D44" i="5"/>
  <c r="D32" i="5"/>
  <c r="D20" i="5"/>
  <c r="D8" i="5"/>
  <c r="H88" i="5"/>
  <c r="P122" i="5"/>
  <c r="H53" i="5"/>
  <c r="L139" i="5"/>
  <c r="L43" i="5"/>
  <c r="P245" i="5"/>
  <c r="P173" i="5"/>
  <c r="P113" i="5"/>
  <c r="P41" i="5"/>
  <c r="H76" i="5"/>
  <c r="H28" i="5"/>
  <c r="L174" i="5"/>
  <c r="L126" i="5"/>
  <c r="L78" i="5"/>
  <c r="L42" i="5"/>
  <c r="L18" i="5"/>
  <c r="D3" i="5"/>
  <c r="D288" i="5"/>
  <c r="D240" i="5"/>
  <c r="D144" i="5"/>
  <c r="D96" i="5"/>
  <c r="D24" i="5"/>
  <c r="H87" i="5"/>
  <c r="L161" i="5"/>
  <c r="L101" i="5"/>
  <c r="L29" i="5"/>
  <c r="P219" i="5"/>
  <c r="P99" i="5"/>
  <c r="D308" i="5"/>
  <c r="D284" i="5"/>
  <c r="D260" i="5"/>
  <c r="D236" i="5"/>
  <c r="D212" i="5"/>
  <c r="D188" i="5"/>
  <c r="D140" i="5"/>
  <c r="D116" i="5"/>
  <c r="D92" i="5"/>
  <c r="D68" i="5"/>
  <c r="D307" i="5"/>
  <c r="D283" i="5"/>
  <c r="D271" i="5"/>
  <c r="D259" i="5"/>
  <c r="D247" i="5"/>
  <c r="D235" i="5"/>
  <c r="D223" i="5"/>
  <c r="D211" i="5"/>
  <c r="D199" i="5"/>
  <c r="D187" i="5"/>
  <c r="D175" i="5"/>
  <c r="D163" i="5"/>
  <c r="D151" i="5"/>
  <c r="D139" i="5"/>
  <c r="D127" i="5"/>
  <c r="D115" i="5"/>
  <c r="D103" i="5"/>
  <c r="D91" i="5"/>
  <c r="P73" i="5"/>
  <c r="H65" i="5"/>
  <c r="L91" i="5"/>
  <c r="L7" i="5"/>
  <c r="P209" i="5"/>
  <c r="P149" i="5"/>
  <c r="P101" i="5"/>
  <c r="P53" i="5"/>
  <c r="D193" i="5"/>
  <c r="H100" i="5"/>
  <c r="H52" i="5"/>
  <c r="H4" i="5"/>
  <c r="L138" i="5"/>
  <c r="L66" i="5"/>
  <c r="D312" i="5"/>
  <c r="D264" i="5"/>
  <c r="D228" i="5"/>
  <c r="D180" i="5"/>
  <c r="D132" i="5"/>
  <c r="D84" i="5"/>
  <c r="D48" i="5"/>
  <c r="H63" i="5"/>
  <c r="H15" i="5"/>
  <c r="L137" i="5"/>
  <c r="L77" i="5"/>
  <c r="L17" i="5"/>
  <c r="P231" i="5"/>
  <c r="P183" i="5"/>
  <c r="P75" i="5"/>
  <c r="D320" i="5"/>
  <c r="D296" i="5"/>
  <c r="D272" i="5"/>
  <c r="D248" i="5"/>
  <c r="D224" i="5"/>
  <c r="D200" i="5"/>
  <c r="D152" i="5"/>
  <c r="D128" i="5"/>
  <c r="D104" i="5"/>
  <c r="D80" i="5"/>
  <c r="D319" i="5"/>
  <c r="D295" i="5"/>
  <c r="D318" i="5"/>
  <c r="D306" i="5"/>
  <c r="D294" i="5"/>
  <c r="D282" i="5"/>
  <c r="D270" i="5"/>
  <c r="D258" i="5"/>
  <c r="D246" i="5"/>
  <c r="D234" i="5"/>
  <c r="D222" i="5"/>
  <c r="D210" i="5"/>
  <c r="D198" i="5"/>
  <c r="D186" i="5"/>
  <c r="D174" i="5"/>
  <c r="D162" i="5"/>
  <c r="D150" i="5"/>
  <c r="D126" i="5"/>
  <c r="D102" i="5"/>
  <c r="D78" i="5"/>
  <c r="D66" i="5"/>
  <c r="D42" i="5"/>
  <c r="D30" i="5"/>
  <c r="D18" i="5"/>
  <c r="D6" i="5"/>
  <c r="D287" i="5"/>
  <c r="D239" i="5"/>
  <c r="D114" i="5"/>
  <c r="L172" i="5"/>
  <c r="H5" i="5"/>
  <c r="L103" i="5"/>
  <c r="P197" i="5"/>
  <c r="P5" i="5"/>
  <c r="D317" i="5"/>
  <c r="D305" i="5"/>
  <c r="D293" i="5"/>
  <c r="D281" i="5"/>
  <c r="D269" i="5"/>
  <c r="D257" i="5"/>
  <c r="D245" i="5"/>
  <c r="D233" i="5"/>
  <c r="D221" i="5"/>
  <c r="D209" i="5"/>
  <c r="D197" i="5"/>
  <c r="D185" i="5"/>
  <c r="D173" i="5"/>
  <c r="D149" i="5"/>
  <c r="D137" i="5"/>
  <c r="D125" i="5"/>
  <c r="D101" i="5"/>
  <c r="D89" i="5"/>
  <c r="D77" i="5"/>
  <c r="D65" i="5"/>
  <c r="D53" i="5"/>
  <c r="D41" i="5"/>
  <c r="D17" i="5"/>
  <c r="D5" i="5"/>
  <c r="H104" i="5"/>
  <c r="H92" i="5"/>
  <c r="H80" i="5"/>
  <c r="H68" i="5"/>
  <c r="H56" i="5"/>
  <c r="H44" i="5"/>
  <c r="H32" i="5"/>
  <c r="H20" i="5"/>
  <c r="H8" i="5"/>
  <c r="L178" i="5"/>
  <c r="L166" i="5"/>
  <c r="L154" i="5"/>
  <c r="L142" i="5"/>
  <c r="L130" i="5"/>
  <c r="L118" i="5"/>
  <c r="L106" i="5"/>
  <c r="L94" i="5"/>
  <c r="L82" i="5"/>
  <c r="L70" i="5"/>
  <c r="L58" i="5"/>
  <c r="L46" i="5"/>
  <c r="L34" i="5"/>
  <c r="L22" i="5"/>
  <c r="L10" i="5"/>
  <c r="P260" i="5"/>
  <c r="P248" i="5"/>
  <c r="P236" i="5"/>
  <c r="P224" i="5"/>
  <c r="P212" i="5"/>
  <c r="P200" i="5"/>
  <c r="P188" i="5"/>
  <c r="P176" i="5"/>
  <c r="P164" i="5"/>
  <c r="P152" i="5"/>
  <c r="P140" i="5"/>
  <c r="P128" i="5"/>
  <c r="P116" i="5"/>
  <c r="P104" i="5"/>
  <c r="P92" i="5"/>
  <c r="P80" i="5"/>
  <c r="P68" i="5"/>
  <c r="P56" i="5"/>
  <c r="P44" i="5"/>
  <c r="P32" i="5"/>
  <c r="P20" i="5"/>
  <c r="P8" i="5"/>
  <c r="H16" i="5"/>
  <c r="P50" i="5"/>
  <c r="H105" i="5"/>
  <c r="H93" i="5"/>
  <c r="H81" i="5"/>
  <c r="H69" i="5"/>
  <c r="H57" i="5"/>
  <c r="H45" i="5"/>
  <c r="H33" i="5"/>
  <c r="H21" i="5"/>
  <c r="H9" i="5"/>
  <c r="L179" i="5"/>
  <c r="L167" i="5"/>
  <c r="L155" i="5"/>
  <c r="L143" i="5"/>
  <c r="L131" i="5"/>
  <c r="L119" i="5"/>
  <c r="L107" i="5"/>
  <c r="L95" i="5"/>
  <c r="L83" i="5"/>
  <c r="L71" i="5"/>
  <c r="L59" i="5"/>
  <c r="L47" i="5"/>
  <c r="L35" i="5"/>
  <c r="L23" i="5"/>
  <c r="L11" i="5"/>
  <c r="P261" i="5"/>
  <c r="P249" i="5"/>
  <c r="P237" i="5"/>
  <c r="P225" i="5"/>
  <c r="P213" i="5"/>
  <c r="P201" i="5"/>
  <c r="P189" i="5"/>
  <c r="P177" i="5"/>
  <c r="P165" i="5"/>
  <c r="P153" i="5"/>
  <c r="P141" i="5"/>
  <c r="P129" i="5"/>
  <c r="P117" i="5"/>
  <c r="P105" i="5"/>
  <c r="P93" i="5"/>
  <c r="P81" i="5"/>
  <c r="P69" i="5"/>
  <c r="P57" i="5"/>
  <c r="P45" i="5"/>
  <c r="P33" i="5"/>
  <c r="P21" i="5"/>
  <c r="P9" i="5"/>
  <c r="P290" i="5"/>
  <c r="L153" i="5"/>
  <c r="L141" i="5"/>
  <c r="L129" i="5"/>
  <c r="L117" i="5"/>
  <c r="L105" i="5"/>
  <c r="L93" i="5"/>
  <c r="L81" i="5"/>
  <c r="L69" i="5"/>
  <c r="L57" i="5"/>
  <c r="L45" i="5"/>
  <c r="L33" i="5"/>
  <c r="L21" i="5"/>
  <c r="L9" i="5"/>
  <c r="P259" i="5"/>
  <c r="P247" i="5"/>
  <c r="P235" i="5"/>
  <c r="P223" i="5"/>
  <c r="P211" i="5"/>
  <c r="P199" i="5"/>
  <c r="P187" i="5"/>
  <c r="P175" i="5"/>
  <c r="P163" i="5"/>
  <c r="P151" i="5"/>
  <c r="P139" i="5"/>
  <c r="P127" i="5"/>
  <c r="P115" i="5"/>
  <c r="P103" i="5"/>
  <c r="P91" i="5"/>
  <c r="P79" i="5"/>
  <c r="P67" i="5"/>
  <c r="P55" i="5"/>
  <c r="P43" i="5"/>
  <c r="P31" i="5"/>
  <c r="P19" i="5"/>
  <c r="P7" i="5"/>
  <c r="P278" i="5"/>
  <c r="D169" i="5"/>
  <c r="D157" i="5"/>
  <c r="D145" i="5"/>
  <c r="D133" i="5"/>
  <c r="D121" i="5"/>
  <c r="D109" i="5"/>
  <c r="D97" i="5"/>
  <c r="D85" i="5"/>
  <c r="D73" i="5"/>
  <c r="D61" i="5"/>
  <c r="D49" i="5"/>
  <c r="D37" i="5"/>
  <c r="D25" i="5"/>
  <c r="D13" i="5"/>
  <c r="P256" i="5"/>
  <c r="P244" i="5"/>
  <c r="P232" i="5"/>
  <c r="P220" i="5"/>
  <c r="P208" i="5"/>
  <c r="P196" i="5"/>
  <c r="P184" i="5"/>
  <c r="P172" i="5"/>
  <c r="P160" i="5"/>
  <c r="P148" i="5"/>
  <c r="P136" i="5"/>
  <c r="P124" i="5"/>
  <c r="P112" i="5"/>
  <c r="P100" i="5"/>
  <c r="P88" i="5"/>
  <c r="P76" i="5"/>
  <c r="P64" i="5"/>
  <c r="P52" i="5"/>
  <c r="P40" i="5"/>
  <c r="P28" i="5"/>
  <c r="P16" i="5"/>
  <c r="P4" i="5"/>
  <c r="P265" i="5"/>
  <c r="D167" i="5"/>
  <c r="D155" i="5"/>
  <c r="D143" i="5"/>
  <c r="D131" i="5"/>
  <c r="D119" i="5"/>
  <c r="D107" i="5"/>
  <c r="D95" i="5"/>
  <c r="D83" i="5"/>
  <c r="D71" i="5"/>
  <c r="D59" i="5"/>
  <c r="D47" i="5"/>
  <c r="D35" i="5"/>
  <c r="D23" i="5"/>
  <c r="D11" i="5"/>
  <c r="H110" i="5"/>
  <c r="H98" i="5"/>
  <c r="H86" i="5"/>
  <c r="H74" i="5"/>
  <c r="H62" i="5"/>
  <c r="H50" i="5"/>
  <c r="H38" i="5"/>
  <c r="H26" i="5"/>
  <c r="H14" i="5"/>
  <c r="H3" i="5"/>
  <c r="D81" i="5"/>
  <c r="D69" i="5"/>
  <c r="D57" i="5"/>
  <c r="D45" i="5"/>
  <c r="D33" i="5"/>
  <c r="D21" i="5"/>
  <c r="D9" i="5"/>
  <c r="H108" i="5"/>
  <c r="H96" i="5"/>
  <c r="H84" i="5"/>
  <c r="H72" i="5"/>
  <c r="H60" i="5"/>
  <c r="H48" i="5"/>
  <c r="H36" i="5"/>
  <c r="H24" i="5"/>
  <c r="H12" i="5"/>
  <c r="L182" i="5"/>
  <c r="L170" i="5"/>
  <c r="L158" i="5"/>
  <c r="L146" i="5"/>
  <c r="L134" i="5"/>
  <c r="L122" i="5"/>
  <c r="L110" i="5"/>
  <c r="L98" i="5"/>
  <c r="L86" i="5"/>
  <c r="L74" i="5"/>
  <c r="L62" i="5"/>
  <c r="L50" i="5"/>
  <c r="L38" i="5"/>
  <c r="L26" i="5"/>
  <c r="L14" i="5"/>
  <c r="P268" i="5"/>
  <c r="P280" i="5"/>
  <c r="P292" i="5"/>
  <c r="P304" i="5"/>
  <c r="P316" i="5"/>
  <c r="P269" i="5"/>
  <c r="P281" i="5"/>
  <c r="P293" i="5"/>
  <c r="P305" i="5"/>
  <c r="P317" i="5"/>
  <c r="P270" i="5"/>
  <c r="P282" i="5"/>
  <c r="P294" i="5"/>
  <c r="P306" i="5"/>
  <c r="P318" i="5"/>
  <c r="P271" i="5"/>
  <c r="P283" i="5"/>
  <c r="P295" i="5"/>
  <c r="P307" i="5"/>
  <c r="P319" i="5"/>
  <c r="P272" i="5"/>
  <c r="P284" i="5"/>
  <c r="P296" i="5"/>
  <c r="P308" i="5"/>
  <c r="P320" i="5"/>
  <c r="P273" i="5"/>
  <c r="P285" i="5"/>
  <c r="P297" i="5"/>
  <c r="P309" i="5"/>
  <c r="P321" i="5"/>
  <c r="P274" i="5"/>
  <c r="P286" i="5"/>
  <c r="P298" i="5"/>
  <c r="P310" i="5"/>
  <c r="P322" i="5"/>
  <c r="P275" i="5"/>
  <c r="P287" i="5"/>
  <c r="P299" i="5"/>
  <c r="P311" i="5"/>
  <c r="P323" i="5"/>
  <c r="P264" i="5"/>
  <c r="P276" i="5"/>
  <c r="P288" i="5"/>
  <c r="P300" i="5"/>
  <c r="P312" i="5"/>
  <c r="P3" i="5"/>
  <c r="P267" i="5"/>
  <c r="P279" i="5"/>
  <c r="P291" i="5"/>
  <c r="P303" i="5"/>
  <c r="P315" i="5"/>
  <c r="P252" i="5"/>
  <c r="P240" i="5"/>
  <c r="P228" i="5"/>
  <c r="P216" i="5"/>
  <c r="P204" i="5"/>
  <c r="P192" i="5"/>
  <c r="P180" i="5"/>
  <c r="P168" i="5"/>
  <c r="P156" i="5"/>
  <c r="P144" i="5"/>
  <c r="P132" i="5"/>
  <c r="P120" i="5"/>
  <c r="P108" i="5"/>
  <c r="P96" i="5"/>
  <c r="P84" i="5"/>
  <c r="P72" i="5"/>
  <c r="P60" i="5"/>
  <c r="P48" i="5"/>
  <c r="P36" i="5"/>
  <c r="P24" i="5"/>
  <c r="P12" i="5"/>
  <c r="P313" i="5"/>
  <c r="H107" i="5"/>
  <c r="H95" i="5"/>
  <c r="H83" i="5"/>
  <c r="H71" i="5"/>
  <c r="H59" i="5"/>
  <c r="H47" i="5"/>
  <c r="H35" i="5"/>
  <c r="H23" i="5"/>
  <c r="H11" i="5"/>
  <c r="L181" i="5"/>
  <c r="L169" i="5"/>
  <c r="L157" i="5"/>
  <c r="L145" i="5"/>
  <c r="L133" i="5"/>
  <c r="L121" i="5"/>
  <c r="L109" i="5"/>
  <c r="L97" i="5"/>
  <c r="L85" i="5"/>
  <c r="L73" i="5"/>
  <c r="L61" i="5"/>
  <c r="L49" i="5"/>
  <c r="L37" i="5"/>
  <c r="L25" i="5"/>
  <c r="L13" i="5"/>
  <c r="P263" i="5"/>
  <c r="P251" i="5"/>
  <c r="P239" i="5"/>
  <c r="P227" i="5"/>
  <c r="P215" i="5"/>
  <c r="P203" i="5"/>
  <c r="P191" i="5"/>
  <c r="P179" i="5"/>
  <c r="P167" i="5"/>
  <c r="P155" i="5"/>
  <c r="P143" i="5"/>
  <c r="P131" i="5"/>
  <c r="P119" i="5"/>
  <c r="P107" i="5"/>
  <c r="P95" i="5"/>
  <c r="P83" i="5"/>
  <c r="P71" i="5"/>
  <c r="P59" i="5"/>
  <c r="P47" i="5"/>
  <c r="P35" i="5"/>
  <c r="P23" i="5"/>
  <c r="P11" i="5"/>
  <c r="P302" i="5"/>
  <c r="D79" i="5"/>
  <c r="D67" i="5"/>
  <c r="D55" i="5"/>
  <c r="D43" i="5"/>
  <c r="D31" i="5"/>
  <c r="D19" i="5"/>
  <c r="D7" i="5"/>
  <c r="H106" i="5"/>
  <c r="H94" i="5"/>
  <c r="H82" i="5"/>
  <c r="H70" i="5"/>
  <c r="H58" i="5"/>
  <c r="H46" i="5"/>
  <c r="H34" i="5"/>
  <c r="H22" i="5"/>
  <c r="H10" i="5"/>
  <c r="L180" i="5"/>
  <c r="L168" i="5"/>
  <c r="L156" i="5"/>
  <c r="L144" i="5"/>
  <c r="L132" i="5"/>
  <c r="L120" i="5"/>
  <c r="L108" i="5"/>
  <c r="L96" i="5"/>
  <c r="L84" i="5"/>
  <c r="L72" i="5"/>
  <c r="L60" i="5"/>
  <c r="L48" i="5"/>
  <c r="L36" i="5"/>
  <c r="L24" i="5"/>
  <c r="L12" i="5"/>
  <c r="P262" i="5"/>
  <c r="P250" i="5"/>
  <c r="P238" i="5"/>
  <c r="P226" i="5"/>
  <c r="P214" i="5"/>
  <c r="P202" i="5"/>
  <c r="P190" i="5"/>
  <c r="P178" i="5"/>
  <c r="P166" i="5"/>
  <c r="P154" i="5"/>
  <c r="P142" i="5"/>
  <c r="P130" i="5"/>
  <c r="P118" i="5"/>
  <c r="P106" i="5"/>
  <c r="P94" i="5"/>
  <c r="P82" i="5"/>
  <c r="P70" i="5"/>
  <c r="P58" i="5"/>
  <c r="P46" i="5"/>
  <c r="P34" i="5"/>
  <c r="P22" i="5"/>
  <c r="P10" i="5"/>
  <c r="P301" i="5"/>
  <c r="G30" i="5"/>
  <c r="C50" i="5"/>
  <c r="C316" i="5"/>
  <c r="C304" i="5"/>
  <c r="C292" i="5"/>
  <c r="C280" i="5"/>
  <c r="C268" i="5"/>
  <c r="C256" i="5"/>
  <c r="C244" i="5"/>
  <c r="C190" i="5"/>
  <c r="G103" i="5"/>
  <c r="G91" i="5"/>
  <c r="K177" i="5"/>
  <c r="K165" i="5"/>
  <c r="K153" i="5"/>
  <c r="K141" i="5"/>
  <c r="K129" i="5"/>
  <c r="O259" i="5"/>
  <c r="S317" i="5"/>
  <c r="S305" i="5"/>
  <c r="S293" i="5"/>
  <c r="S281" i="5"/>
  <c r="S269" i="5"/>
  <c r="S209" i="5"/>
  <c r="S74" i="5"/>
  <c r="W315" i="5"/>
  <c r="W303" i="5"/>
  <c r="W291" i="5"/>
  <c r="W279" i="5"/>
  <c r="W267" i="5"/>
  <c r="C86" i="5"/>
  <c r="C216" i="5"/>
  <c r="C220" i="5"/>
  <c r="C148" i="5"/>
  <c r="G67" i="5"/>
  <c r="G43" i="5"/>
  <c r="G19" i="5"/>
  <c r="K117" i="5"/>
  <c r="K45" i="5"/>
  <c r="O223" i="5"/>
  <c r="O151" i="5"/>
  <c r="O91" i="5"/>
  <c r="S257" i="5"/>
  <c r="S185" i="5"/>
  <c r="C303" i="5"/>
  <c r="C255" i="5"/>
  <c r="C195" i="5"/>
  <c r="C147" i="5"/>
  <c r="C99" i="5"/>
  <c r="C39" i="5"/>
  <c r="G102" i="5"/>
  <c r="G54" i="5"/>
  <c r="K164" i="5"/>
  <c r="K116" i="5"/>
  <c r="K80" i="5"/>
  <c r="K32" i="5"/>
  <c r="O90" i="5"/>
  <c r="C298" i="5"/>
  <c r="C314" i="5"/>
  <c r="C302" i="5"/>
  <c r="C290" i="5"/>
  <c r="C278" i="5"/>
  <c r="C266" i="5"/>
  <c r="C254" i="5"/>
  <c r="C242" i="5"/>
  <c r="C230" i="5"/>
  <c r="C218" i="5"/>
  <c r="C206" i="5"/>
  <c r="C194" i="5"/>
  <c r="C182" i="5"/>
  <c r="C170" i="5"/>
  <c r="C158" i="5"/>
  <c r="C146" i="5"/>
  <c r="C134" i="5"/>
  <c r="C122" i="5"/>
  <c r="C110" i="5"/>
  <c r="C98" i="5"/>
  <c r="C74" i="5"/>
  <c r="C62" i="5"/>
  <c r="C38" i="5"/>
  <c r="C26" i="5"/>
  <c r="C14" i="5"/>
  <c r="G113" i="5"/>
  <c r="G101" i="5"/>
  <c r="G89" i="5"/>
  <c r="G65" i="5"/>
  <c r="G29" i="5"/>
  <c r="G17" i="5"/>
  <c r="K19" i="5"/>
  <c r="C49" i="5"/>
  <c r="K150" i="5"/>
  <c r="C208" i="5"/>
  <c r="C136" i="5"/>
  <c r="C64" i="5"/>
  <c r="C28" i="5"/>
  <c r="C4" i="5"/>
  <c r="C215" i="5"/>
  <c r="K81" i="5"/>
  <c r="O235" i="5"/>
  <c r="O187" i="5"/>
  <c r="O103" i="5"/>
  <c r="S233" i="5"/>
  <c r="S161" i="5"/>
  <c r="C267" i="5"/>
  <c r="C219" i="5"/>
  <c r="C171" i="5"/>
  <c r="C123" i="5"/>
  <c r="C75" i="5"/>
  <c r="C15" i="5"/>
  <c r="G66" i="5"/>
  <c r="K176" i="5"/>
  <c r="K68" i="5"/>
  <c r="C196" i="5"/>
  <c r="C124" i="5"/>
  <c r="G79" i="5"/>
  <c r="G55" i="5"/>
  <c r="G31" i="5"/>
  <c r="G7" i="5"/>
  <c r="K105" i="5"/>
  <c r="K57" i="5"/>
  <c r="K9" i="5"/>
  <c r="O211" i="5"/>
  <c r="O127" i="5"/>
  <c r="O67" i="5"/>
  <c r="S245" i="5"/>
  <c r="S197" i="5"/>
  <c r="S137" i="5"/>
  <c r="S125" i="5"/>
  <c r="S101" i="5"/>
  <c r="S77" i="5"/>
  <c r="S29" i="5"/>
  <c r="G42" i="5"/>
  <c r="G6" i="5"/>
  <c r="K140" i="5"/>
  <c r="K104" i="5"/>
  <c r="K44" i="5"/>
  <c r="C189" i="5"/>
  <c r="C288" i="5"/>
  <c r="C252" i="5"/>
  <c r="C36" i="5"/>
  <c r="C251" i="5"/>
  <c r="C179" i="5"/>
  <c r="C35" i="5"/>
  <c r="G110" i="5"/>
  <c r="G50" i="5"/>
  <c r="C262" i="5"/>
  <c r="C226" i="5"/>
  <c r="C106" i="5"/>
  <c r="G109" i="5"/>
  <c r="G49" i="5"/>
  <c r="C261" i="5"/>
  <c r="C225" i="5"/>
  <c r="C105" i="5"/>
  <c r="K170" i="5"/>
  <c r="C112" i="5"/>
  <c r="K33" i="5"/>
  <c r="O163" i="5"/>
  <c r="O79" i="5"/>
  <c r="O55" i="5"/>
  <c r="O43" i="5"/>
  <c r="O31" i="5"/>
  <c r="O19" i="5"/>
  <c r="O7" i="5"/>
  <c r="C315" i="5"/>
  <c r="C207" i="5"/>
  <c r="C63" i="5"/>
  <c r="K56" i="5"/>
  <c r="K101" i="5"/>
  <c r="O252" i="5"/>
  <c r="C172" i="5"/>
  <c r="C40" i="5"/>
  <c r="K69" i="5"/>
  <c r="O199" i="5"/>
  <c r="C279" i="5"/>
  <c r="C231" i="5"/>
  <c r="C183" i="5"/>
  <c r="C135" i="5"/>
  <c r="C87" i="5"/>
  <c r="C27" i="5"/>
  <c r="G78" i="5"/>
  <c r="G18" i="5"/>
  <c r="K152" i="5"/>
  <c r="K92" i="5"/>
  <c r="K20" i="5"/>
  <c r="C180" i="5"/>
  <c r="K149" i="5"/>
  <c r="C91" i="5"/>
  <c r="C287" i="5"/>
  <c r="C319" i="5"/>
  <c r="C307" i="5"/>
  <c r="C295" i="5"/>
  <c r="C283" i="5"/>
  <c r="C271" i="5"/>
  <c r="C259" i="5"/>
  <c r="C247" i="5"/>
  <c r="C235" i="5"/>
  <c r="C223" i="5"/>
  <c r="C211" i="5"/>
  <c r="C199" i="5"/>
  <c r="C187" i="5"/>
  <c r="C175" i="5"/>
  <c r="C163" i="5"/>
  <c r="C151" i="5"/>
  <c r="C139" i="5"/>
  <c r="C127" i="5"/>
  <c r="C115" i="5"/>
  <c r="C103" i="5"/>
  <c r="C79" i="5"/>
  <c r="C67" i="5"/>
  <c r="C55" i="5"/>
  <c r="C43" i="5"/>
  <c r="C31" i="5"/>
  <c r="C19" i="5"/>
  <c r="C7" i="5"/>
  <c r="G106" i="5"/>
  <c r="G94" i="5"/>
  <c r="G82" i="5"/>
  <c r="G70" i="5"/>
  <c r="G58" i="5"/>
  <c r="G46" i="5"/>
  <c r="G34" i="5"/>
  <c r="G22" i="5"/>
  <c r="G10" i="5"/>
  <c r="K180" i="5"/>
  <c r="K168" i="5"/>
  <c r="K156" i="5"/>
  <c r="K144" i="5"/>
  <c r="K132" i="5"/>
  <c r="O169" i="5"/>
  <c r="C232" i="5"/>
  <c r="C160" i="5"/>
  <c r="C88" i="5"/>
  <c r="C52" i="5"/>
  <c r="C16" i="5"/>
  <c r="K93" i="5"/>
  <c r="O247" i="5"/>
  <c r="O175" i="5"/>
  <c r="O115" i="5"/>
  <c r="S221" i="5"/>
  <c r="S173" i="5"/>
  <c r="C291" i="5"/>
  <c r="C243" i="5"/>
  <c r="C159" i="5"/>
  <c r="C111" i="5"/>
  <c r="C51" i="5"/>
  <c r="G90" i="5"/>
  <c r="K128" i="5"/>
  <c r="C318" i="5"/>
  <c r="C306" i="5"/>
  <c r="C294" i="5"/>
  <c r="C282" i="5"/>
  <c r="C270" i="5"/>
  <c r="C258" i="5"/>
  <c r="C246" i="5"/>
  <c r="C234" i="5"/>
  <c r="C222" i="5"/>
  <c r="C210" i="5"/>
  <c r="C150" i="5"/>
  <c r="C138" i="5"/>
  <c r="G93" i="5"/>
  <c r="K83" i="5"/>
  <c r="O45" i="5"/>
  <c r="S190" i="5"/>
  <c r="C184" i="5"/>
  <c r="C100" i="5"/>
  <c r="C317" i="5"/>
  <c r="C305" i="5"/>
  <c r="C293" i="5"/>
  <c r="C281" i="5"/>
  <c r="C269" i="5"/>
  <c r="C257" i="5"/>
  <c r="C245" i="5"/>
  <c r="C233" i="5"/>
  <c r="C221" i="5"/>
  <c r="C209" i="5"/>
  <c r="C197" i="5"/>
  <c r="C185" i="5"/>
  <c r="C173" i="5"/>
  <c r="C161" i="5"/>
  <c r="C149" i="5"/>
  <c r="C137" i="5"/>
  <c r="C125" i="5"/>
  <c r="C113" i="5"/>
  <c r="C101" i="5"/>
  <c r="C89" i="5"/>
  <c r="C77" i="5"/>
  <c r="C65" i="5"/>
  <c r="C53" i="5"/>
  <c r="C41" i="5"/>
  <c r="C29" i="5"/>
  <c r="C17" i="5"/>
  <c r="C5" i="5"/>
  <c r="G104" i="5"/>
  <c r="G92" i="5"/>
  <c r="G80" i="5"/>
  <c r="G68" i="5"/>
  <c r="G56" i="5"/>
  <c r="G44" i="5"/>
  <c r="G32" i="5"/>
  <c r="G20" i="5"/>
  <c r="G8" i="5"/>
  <c r="K178" i="5"/>
  <c r="K166" i="5"/>
  <c r="K154" i="5"/>
  <c r="K142" i="5"/>
  <c r="K130" i="5"/>
  <c r="K118" i="5"/>
  <c r="K106" i="5"/>
  <c r="K94" i="5"/>
  <c r="K82" i="5"/>
  <c r="K70" i="5"/>
  <c r="K58" i="5"/>
  <c r="K46" i="5"/>
  <c r="K34" i="5"/>
  <c r="K22" i="5"/>
  <c r="K10" i="5"/>
  <c r="O260" i="5"/>
  <c r="O248" i="5"/>
  <c r="O236" i="5"/>
  <c r="O224" i="5"/>
  <c r="O212" i="5"/>
  <c r="O200" i="5"/>
  <c r="O188" i="5"/>
  <c r="O176" i="5"/>
  <c r="O164" i="5"/>
  <c r="O152" i="5"/>
  <c r="O140" i="5"/>
  <c r="O128" i="5"/>
  <c r="O116" i="5"/>
  <c r="O104" i="5"/>
  <c r="O92" i="5"/>
  <c r="O80" i="5"/>
  <c r="O68" i="5"/>
  <c r="O56" i="5"/>
  <c r="O44" i="5"/>
  <c r="O32" i="5"/>
  <c r="O20" i="5"/>
  <c r="O8" i="5"/>
  <c r="S318" i="5"/>
  <c r="S306" i="5"/>
  <c r="S294" i="5"/>
  <c r="S282" i="5"/>
  <c r="S270" i="5"/>
  <c r="S258" i="5"/>
  <c r="S246" i="5"/>
  <c r="S234" i="5"/>
  <c r="S222" i="5"/>
  <c r="S210" i="5"/>
  <c r="S198" i="5"/>
  <c r="S186" i="5"/>
  <c r="S174" i="5"/>
  <c r="S162" i="5"/>
  <c r="S150" i="5"/>
  <c r="S138" i="5"/>
  <c r="S126" i="5"/>
  <c r="S114" i="5"/>
  <c r="S102" i="5"/>
  <c r="S90" i="5"/>
  <c r="S78" i="5"/>
  <c r="S66" i="5"/>
  <c r="S54" i="5"/>
  <c r="S42" i="5"/>
  <c r="S30" i="5"/>
  <c r="S18" i="5"/>
  <c r="S6" i="5"/>
  <c r="W316" i="5"/>
  <c r="W304" i="5"/>
  <c r="W292" i="5"/>
  <c r="W280" i="5"/>
  <c r="W268" i="5"/>
  <c r="W256" i="5"/>
  <c r="W244" i="5"/>
  <c r="W232" i="5"/>
  <c r="W220" i="5"/>
  <c r="W208" i="5"/>
  <c r="W196" i="5"/>
  <c r="W184" i="5"/>
  <c r="W172" i="5"/>
  <c r="W160" i="5"/>
  <c r="W148" i="5"/>
  <c r="W136" i="5"/>
  <c r="W124" i="5"/>
  <c r="W112" i="5"/>
  <c r="W100" i="5"/>
  <c r="W88" i="5"/>
  <c r="W76" i="5"/>
  <c r="W64" i="5"/>
  <c r="W52" i="5"/>
  <c r="W40" i="5"/>
  <c r="W28" i="5"/>
  <c r="W16" i="5"/>
  <c r="W4" i="5"/>
  <c r="W238" i="5"/>
  <c r="W55" i="5"/>
  <c r="W283" i="5"/>
  <c r="W56" i="5"/>
  <c r="W79" i="5"/>
  <c r="W298" i="5"/>
  <c r="W80" i="5"/>
  <c r="W299" i="5"/>
  <c r="W140" i="5"/>
  <c r="W141" i="5"/>
  <c r="W237" i="5"/>
  <c r="W164" i="5"/>
  <c r="W165" i="5"/>
  <c r="W222" i="5"/>
  <c r="C76" i="5"/>
  <c r="K21" i="5"/>
  <c r="O139" i="5"/>
  <c r="S149" i="5"/>
  <c r="S113" i="5"/>
  <c r="S89" i="5"/>
  <c r="S65" i="5"/>
  <c r="S53" i="5"/>
  <c r="S41" i="5"/>
  <c r="S17" i="5"/>
  <c r="S5" i="5"/>
  <c r="S225" i="5"/>
  <c r="S35" i="5"/>
  <c r="S36" i="5"/>
  <c r="S73" i="5"/>
  <c r="S189" i="5"/>
  <c r="W255" i="5"/>
  <c r="W243" i="5"/>
  <c r="W231" i="5"/>
  <c r="W219" i="5"/>
  <c r="W207" i="5"/>
  <c r="W195" i="5"/>
  <c r="W183" i="5"/>
  <c r="W171" i="5"/>
  <c r="W159" i="5"/>
  <c r="W147" i="5"/>
  <c r="W135" i="5"/>
  <c r="W123" i="5"/>
  <c r="W111" i="5"/>
  <c r="W99" i="5"/>
  <c r="W87" i="5"/>
  <c r="W75" i="5"/>
  <c r="W63" i="5"/>
  <c r="W51" i="5"/>
  <c r="W39" i="5"/>
  <c r="W27" i="5"/>
  <c r="W15" i="5"/>
  <c r="C323" i="5"/>
  <c r="C198" i="5"/>
  <c r="C186" i="5"/>
  <c r="C174" i="5"/>
  <c r="C162" i="5"/>
  <c r="C126" i="5"/>
  <c r="C114" i="5"/>
  <c r="C102" i="5"/>
  <c r="C90" i="5"/>
  <c r="C78" i="5"/>
  <c r="C66" i="5"/>
  <c r="C54" i="5"/>
  <c r="C42" i="5"/>
  <c r="C30" i="5"/>
  <c r="C18" i="5"/>
  <c r="C6" i="5"/>
  <c r="G105" i="5"/>
  <c r="G81" i="5"/>
  <c r="G69" i="5"/>
  <c r="G57" i="5"/>
  <c r="G45" i="5"/>
  <c r="G33" i="5"/>
  <c r="G21" i="5"/>
  <c r="G9" i="5"/>
  <c r="K179" i="5"/>
  <c r="K167" i="5"/>
  <c r="K155" i="5"/>
  <c r="K143" i="5"/>
  <c r="K131" i="5"/>
  <c r="K119" i="5"/>
  <c r="K107" i="5"/>
  <c r="K95" i="5"/>
  <c r="K71" i="5"/>
  <c r="K59" i="5"/>
  <c r="K47" i="5"/>
  <c r="K35" i="5"/>
  <c r="K23" i="5"/>
  <c r="K11" i="5"/>
  <c r="O261" i="5"/>
  <c r="O249" i="5"/>
  <c r="O237" i="5"/>
  <c r="O225" i="5"/>
  <c r="O213" i="5"/>
  <c r="O201" i="5"/>
  <c r="O189" i="5"/>
  <c r="O177" i="5"/>
  <c r="O165" i="5"/>
  <c r="O153" i="5"/>
  <c r="O141" i="5"/>
  <c r="O129" i="5"/>
  <c r="O117" i="5"/>
  <c r="O105" i="5"/>
  <c r="O93" i="5"/>
  <c r="O81" i="5"/>
  <c r="O69" i="5"/>
  <c r="O57" i="5"/>
  <c r="O33" i="5"/>
  <c r="O21" i="5"/>
  <c r="O9" i="5"/>
  <c r="S319" i="5"/>
  <c r="S307" i="5"/>
  <c r="S295" i="5"/>
  <c r="S283" i="5"/>
  <c r="S271" i="5"/>
  <c r="S259" i="5"/>
  <c r="S247" i="5"/>
  <c r="S235" i="5"/>
  <c r="S223" i="5"/>
  <c r="S211" i="5"/>
  <c r="S199" i="5"/>
  <c r="S187" i="5"/>
  <c r="S175" i="5"/>
  <c r="S163" i="5"/>
  <c r="S151" i="5"/>
  <c r="S139" i="5"/>
  <c r="S127" i="5"/>
  <c r="S115" i="5"/>
  <c r="S103" i="5"/>
  <c r="S91" i="5"/>
  <c r="S79" i="5"/>
  <c r="S67" i="5"/>
  <c r="G77" i="5"/>
  <c r="G5" i="5"/>
  <c r="K127" i="5"/>
  <c r="K91" i="5"/>
  <c r="K31" i="5"/>
  <c r="O245" i="5"/>
  <c r="O185" i="5"/>
  <c r="O149" i="5"/>
  <c r="O113" i="5"/>
  <c r="O101" i="5"/>
  <c r="O89" i="5"/>
  <c r="O77" i="5"/>
  <c r="O53" i="5"/>
  <c r="O5" i="5"/>
  <c r="S315" i="5"/>
  <c r="S303" i="5"/>
  <c r="S291" i="5"/>
  <c r="S279" i="5"/>
  <c r="S267" i="5"/>
  <c r="S255" i="5"/>
  <c r="S243" i="5"/>
  <c r="S231" i="5"/>
  <c r="S219" i="5"/>
  <c r="S207" i="5"/>
  <c r="S195" i="5"/>
  <c r="S183" i="5"/>
  <c r="S171" i="5"/>
  <c r="S159" i="5"/>
  <c r="S147" i="5"/>
  <c r="S135" i="5"/>
  <c r="S123" i="5"/>
  <c r="S111" i="5"/>
  <c r="S99" i="5"/>
  <c r="S87" i="5"/>
  <c r="S75" i="5"/>
  <c r="S63" i="5"/>
  <c r="S51" i="5"/>
  <c r="S39" i="5"/>
  <c r="S27" i="5"/>
  <c r="S15" i="5"/>
  <c r="C297" i="5"/>
  <c r="O159" i="5"/>
  <c r="C313" i="5"/>
  <c r="C301" i="5"/>
  <c r="C289" i="5"/>
  <c r="C277" i="5"/>
  <c r="C265" i="5"/>
  <c r="C253" i="5"/>
  <c r="C241" i="5"/>
  <c r="C229" i="5"/>
  <c r="C217" i="5"/>
  <c r="C205" i="5"/>
  <c r="C193" i="5"/>
  <c r="C181" i="5"/>
  <c r="C169" i="5"/>
  <c r="C157" i="5"/>
  <c r="C145" i="5"/>
  <c r="C133" i="5"/>
  <c r="C121" i="5"/>
  <c r="C109" i="5"/>
  <c r="C97" i="5"/>
  <c r="C85" i="5"/>
  <c r="C73" i="5"/>
  <c r="C61" i="5"/>
  <c r="C37" i="5"/>
  <c r="C25" i="5"/>
  <c r="C13" i="5"/>
  <c r="G112" i="5"/>
  <c r="G100" i="5"/>
  <c r="G88" i="5"/>
  <c r="G76" i="5"/>
  <c r="G64" i="5"/>
  <c r="G52" i="5"/>
  <c r="G40" i="5"/>
  <c r="G28" i="5"/>
  <c r="G16" i="5"/>
  <c r="G3" i="5"/>
  <c r="G4" i="5"/>
  <c r="K174" i="5"/>
  <c r="K162" i="5"/>
  <c r="K138" i="5"/>
  <c r="K126" i="5"/>
  <c r="K114" i="5"/>
  <c r="K102" i="5"/>
  <c r="K90" i="5"/>
  <c r="K78" i="5"/>
  <c r="K66" i="5"/>
  <c r="K54" i="5"/>
  <c r="K42" i="5"/>
  <c r="K30" i="5"/>
  <c r="K18" i="5"/>
  <c r="K6" i="5"/>
  <c r="O256" i="5"/>
  <c r="O172" i="5"/>
  <c r="O124" i="5"/>
  <c r="O88" i="5"/>
  <c r="O136" i="5"/>
  <c r="K139" i="5"/>
  <c r="K67" i="5"/>
  <c r="O209" i="5"/>
  <c r="O41" i="5"/>
  <c r="C264" i="5"/>
  <c r="C192" i="5"/>
  <c r="C144" i="5"/>
  <c r="C84" i="5"/>
  <c r="C24" i="5"/>
  <c r="G75" i="5"/>
  <c r="G15" i="5"/>
  <c r="K137" i="5"/>
  <c r="K89" i="5"/>
  <c r="K41" i="5"/>
  <c r="K29" i="5"/>
  <c r="K17" i="5"/>
  <c r="K5" i="5"/>
  <c r="O255" i="5"/>
  <c r="O243" i="5"/>
  <c r="O231" i="5"/>
  <c r="O219" i="5"/>
  <c r="O207" i="5"/>
  <c r="O195" i="5"/>
  <c r="O183" i="5"/>
  <c r="O171" i="5"/>
  <c r="O147" i="5"/>
  <c r="O135" i="5"/>
  <c r="O123" i="5"/>
  <c r="O111" i="5"/>
  <c r="O99" i="5"/>
  <c r="O87" i="5"/>
  <c r="O75" i="5"/>
  <c r="O63" i="5"/>
  <c r="O51" i="5"/>
  <c r="O39" i="5"/>
  <c r="O27" i="5"/>
  <c r="O15" i="5"/>
  <c r="O126" i="5"/>
  <c r="G41" i="5"/>
  <c r="K163" i="5"/>
  <c r="K103" i="5"/>
  <c r="K43" i="5"/>
  <c r="O257" i="5"/>
  <c r="O221" i="5"/>
  <c r="O161" i="5"/>
  <c r="O29" i="5"/>
  <c r="C312" i="5"/>
  <c r="C276" i="5"/>
  <c r="C228" i="5"/>
  <c r="C156" i="5"/>
  <c r="C120" i="5"/>
  <c r="C96" i="5"/>
  <c r="C60" i="5"/>
  <c r="G111" i="5"/>
  <c r="G51" i="5"/>
  <c r="K173" i="5"/>
  <c r="K65" i="5"/>
  <c r="C311" i="5"/>
  <c r="C299" i="5"/>
  <c r="C275" i="5"/>
  <c r="C263" i="5"/>
  <c r="C239" i="5"/>
  <c r="C227" i="5"/>
  <c r="C203" i="5"/>
  <c r="C191" i="5"/>
  <c r="C167" i="5"/>
  <c r="C155" i="5"/>
  <c r="C143" i="5"/>
  <c r="C131" i="5"/>
  <c r="C119" i="5"/>
  <c r="C107" i="5"/>
  <c r="C95" i="5"/>
  <c r="C83" i="5"/>
  <c r="C71" i="5"/>
  <c r="C59" i="5"/>
  <c r="C47" i="5"/>
  <c r="C23" i="5"/>
  <c r="C11" i="5"/>
  <c r="G98" i="5"/>
  <c r="G86" i="5"/>
  <c r="G74" i="5"/>
  <c r="G62" i="5"/>
  <c r="K172" i="5"/>
  <c r="K148" i="5"/>
  <c r="O206" i="5"/>
  <c r="S21" i="5"/>
  <c r="O48" i="5"/>
  <c r="K151" i="5"/>
  <c r="K79" i="5"/>
  <c r="O197" i="5"/>
  <c r="K77" i="5"/>
  <c r="C310" i="5"/>
  <c r="C286" i="5"/>
  <c r="C250" i="5"/>
  <c r="C202" i="5"/>
  <c r="C166" i="5"/>
  <c r="C142" i="5"/>
  <c r="C118" i="5"/>
  <c r="C94" i="5"/>
  <c r="C70" i="5"/>
  <c r="C58" i="5"/>
  <c r="C46" i="5"/>
  <c r="C34" i="5"/>
  <c r="C22" i="5"/>
  <c r="C10" i="5"/>
  <c r="G97" i="5"/>
  <c r="G85" i="5"/>
  <c r="G73" i="5"/>
  <c r="G61" i="5"/>
  <c r="G37" i="5"/>
  <c r="G25" i="5"/>
  <c r="G13" i="5"/>
  <c r="K183" i="5"/>
  <c r="K171" i="5"/>
  <c r="K159" i="5"/>
  <c r="K147" i="5"/>
  <c r="K135" i="5"/>
  <c r="K123" i="5"/>
  <c r="K111" i="5"/>
  <c r="K99" i="5"/>
  <c r="K87" i="5"/>
  <c r="K75" i="5"/>
  <c r="K63" i="5"/>
  <c r="K51" i="5"/>
  <c r="K39" i="5"/>
  <c r="K27" i="5"/>
  <c r="K15" i="5"/>
  <c r="O205" i="5"/>
  <c r="O137" i="5"/>
  <c r="O65" i="5"/>
  <c r="C3" i="5"/>
  <c r="G87" i="5"/>
  <c r="G39" i="5"/>
  <c r="K113" i="5"/>
  <c r="C130" i="5"/>
  <c r="C321" i="5"/>
  <c r="C285" i="5"/>
  <c r="C273" i="5"/>
  <c r="C249" i="5"/>
  <c r="C237" i="5"/>
  <c r="C213" i="5"/>
  <c r="C201" i="5"/>
  <c r="C177" i="5"/>
  <c r="C165" i="5"/>
  <c r="C153" i="5"/>
  <c r="C141" i="5"/>
  <c r="C129" i="5"/>
  <c r="C117" i="5"/>
  <c r="C93" i="5"/>
  <c r="C81" i="5"/>
  <c r="C69" i="5"/>
  <c r="C57" i="5"/>
  <c r="C45" i="5"/>
  <c r="C33" i="5"/>
  <c r="C21" i="5"/>
  <c r="O240" i="5"/>
  <c r="O204" i="5"/>
  <c r="O60" i="5"/>
  <c r="S286" i="5"/>
  <c r="S238" i="5"/>
  <c r="S142" i="5"/>
  <c r="S22" i="5"/>
  <c r="W284" i="5"/>
  <c r="O13" i="5"/>
  <c r="G53" i="5"/>
  <c r="K175" i="5"/>
  <c r="K115" i="5"/>
  <c r="K55" i="5"/>
  <c r="K7" i="5"/>
  <c r="O233" i="5"/>
  <c r="O173" i="5"/>
  <c r="O125" i="5"/>
  <c r="O17" i="5"/>
  <c r="C300" i="5"/>
  <c r="C240" i="5"/>
  <c r="C204" i="5"/>
  <c r="C168" i="5"/>
  <c r="C132" i="5"/>
  <c r="C108" i="5"/>
  <c r="C72" i="5"/>
  <c r="C48" i="5"/>
  <c r="C12" i="5"/>
  <c r="G99" i="5"/>
  <c r="G63" i="5"/>
  <c r="G27" i="5"/>
  <c r="K161" i="5"/>
  <c r="K125" i="5"/>
  <c r="K53" i="5"/>
  <c r="C322" i="5"/>
  <c r="C274" i="5"/>
  <c r="C238" i="5"/>
  <c r="C214" i="5"/>
  <c r="C178" i="5"/>
  <c r="C154" i="5"/>
  <c r="C82" i="5"/>
  <c r="C309" i="5"/>
  <c r="C320" i="5"/>
  <c r="C308" i="5"/>
  <c r="C296" i="5"/>
  <c r="C284" i="5"/>
  <c r="C272" i="5"/>
  <c r="C260" i="5"/>
  <c r="C248" i="5"/>
  <c r="C236" i="5"/>
  <c r="C224" i="5"/>
  <c r="C212" i="5"/>
  <c r="C200" i="5"/>
  <c r="C188" i="5"/>
  <c r="C176" i="5"/>
  <c r="C164" i="5"/>
  <c r="C152" i="5"/>
  <c r="C140" i="5"/>
  <c r="C128" i="5"/>
  <c r="C116" i="5"/>
  <c r="C104" i="5"/>
  <c r="C92" i="5"/>
  <c r="C80" i="5"/>
  <c r="S321" i="5"/>
  <c r="S285" i="5"/>
  <c r="S273" i="5"/>
  <c r="S237" i="5"/>
  <c r="S177" i="5"/>
  <c r="S141" i="5"/>
  <c r="S129" i="5"/>
  <c r="O12" i="5"/>
  <c r="K120" i="5"/>
  <c r="K108" i="5"/>
  <c r="K96" i="5"/>
  <c r="K84" i="5"/>
  <c r="K72" i="5"/>
  <c r="K60" i="5"/>
  <c r="K48" i="5"/>
  <c r="K36" i="5"/>
  <c r="K24" i="5"/>
  <c r="K12" i="5"/>
  <c r="O262" i="5"/>
  <c r="O250" i="5"/>
  <c r="O238" i="5"/>
  <c r="O226" i="5"/>
  <c r="O214" i="5"/>
  <c r="O202" i="5"/>
  <c r="O190" i="5"/>
  <c r="O178" i="5"/>
  <c r="O166" i="5"/>
  <c r="O154" i="5"/>
  <c r="O142" i="5"/>
  <c r="O130" i="5"/>
  <c r="O118" i="5"/>
  <c r="O106" i="5"/>
  <c r="O94" i="5"/>
  <c r="O82" i="5"/>
  <c r="O70" i="5"/>
  <c r="O58" i="5"/>
  <c r="O46" i="5"/>
  <c r="O34" i="5"/>
  <c r="O22" i="5"/>
  <c r="O10" i="5"/>
  <c r="S320" i="5"/>
  <c r="S308" i="5"/>
  <c r="S296" i="5"/>
  <c r="S284" i="5"/>
  <c r="S272" i="5"/>
  <c r="S260" i="5"/>
  <c r="S248" i="5"/>
  <c r="S236" i="5"/>
  <c r="S224" i="5"/>
  <c r="S212" i="5"/>
  <c r="S200" i="5"/>
  <c r="S188" i="5"/>
  <c r="S176" i="5"/>
  <c r="S164" i="5"/>
  <c r="S152" i="5"/>
  <c r="S140" i="5"/>
  <c r="S128" i="5"/>
  <c r="S116" i="5"/>
  <c r="S104" i="5"/>
  <c r="W306" i="5"/>
  <c r="W282" i="5"/>
  <c r="W198" i="5"/>
  <c r="W174" i="5"/>
  <c r="W138" i="5"/>
  <c r="W114" i="5"/>
  <c r="W54" i="5"/>
  <c r="W30" i="5"/>
  <c r="C68" i="5"/>
  <c r="C56" i="5"/>
  <c r="C44" i="5"/>
  <c r="C32" i="5"/>
  <c r="C20" i="5"/>
  <c r="C8" i="5"/>
  <c r="G107" i="5"/>
  <c r="G95" i="5"/>
  <c r="G83" i="5"/>
  <c r="G71" i="5"/>
  <c r="G59" i="5"/>
  <c r="G47" i="5"/>
  <c r="G35" i="5"/>
  <c r="G23" i="5"/>
  <c r="G11" i="5"/>
  <c r="K181" i="5"/>
  <c r="K169" i="5"/>
  <c r="K157" i="5"/>
  <c r="K145" i="5"/>
  <c r="K133" i="5"/>
  <c r="K121" i="5"/>
  <c r="K109" i="5"/>
  <c r="K97" i="5"/>
  <c r="K85" i="5"/>
  <c r="K73" i="5"/>
  <c r="K61" i="5"/>
  <c r="K49" i="5"/>
  <c r="K37" i="5"/>
  <c r="K25" i="5"/>
  <c r="K13" i="5"/>
  <c r="O263" i="5"/>
  <c r="O251" i="5"/>
  <c r="O239" i="5"/>
  <c r="O227" i="5"/>
  <c r="O215" i="5"/>
  <c r="O203" i="5"/>
  <c r="O191" i="5"/>
  <c r="O179" i="5"/>
  <c r="O167" i="5"/>
  <c r="O155" i="5"/>
  <c r="O143" i="5"/>
  <c r="O131" i="5"/>
  <c r="O119" i="5"/>
  <c r="O107" i="5"/>
  <c r="O95" i="5"/>
  <c r="O83" i="5"/>
  <c r="O71" i="5"/>
  <c r="O59" i="5"/>
  <c r="O47" i="5"/>
  <c r="O35" i="5"/>
  <c r="O23" i="5"/>
  <c r="O11" i="5"/>
  <c r="S309" i="5"/>
  <c r="S297" i="5"/>
  <c r="S261" i="5"/>
  <c r="S249" i="5"/>
  <c r="S213" i="5"/>
  <c r="S201" i="5"/>
  <c r="S165" i="5"/>
  <c r="S153" i="5"/>
  <c r="S117" i="5"/>
  <c r="S93" i="5"/>
  <c r="S57" i="5"/>
  <c r="W259" i="5"/>
  <c r="W139" i="5"/>
  <c r="W115" i="5"/>
  <c r="K8" i="5"/>
  <c r="O258" i="5"/>
  <c r="O246" i="5"/>
  <c r="O234" i="5"/>
  <c r="O222" i="5"/>
  <c r="O210" i="5"/>
  <c r="O198" i="5"/>
  <c r="O186" i="5"/>
  <c r="O174" i="5"/>
  <c r="O162" i="5"/>
  <c r="O150" i="5"/>
  <c r="O138" i="5"/>
  <c r="O114" i="5"/>
  <c r="O102" i="5"/>
  <c r="O78" i="5"/>
  <c r="O66" i="5"/>
  <c r="O54" i="5"/>
  <c r="O42" i="5"/>
  <c r="O30" i="5"/>
  <c r="O18" i="5"/>
  <c r="O6" i="5"/>
  <c r="S316" i="5"/>
  <c r="S304" i="5"/>
  <c r="S292" i="5"/>
  <c r="S280" i="5"/>
  <c r="S268" i="5"/>
  <c r="S256" i="5"/>
  <c r="S244" i="5"/>
  <c r="S232" i="5"/>
  <c r="S220" i="5"/>
  <c r="S208" i="5"/>
  <c r="S196" i="5"/>
  <c r="S184" i="5"/>
  <c r="S172" i="5"/>
  <c r="S160" i="5"/>
  <c r="S148" i="5"/>
  <c r="S136" i="5"/>
  <c r="S124" i="5"/>
  <c r="S112" i="5"/>
  <c r="S100" i="5"/>
  <c r="S88" i="5"/>
  <c r="S76" i="5"/>
  <c r="S64" i="5"/>
  <c r="S52" i="5"/>
  <c r="S40" i="5"/>
  <c r="S28" i="5"/>
  <c r="S16" i="5"/>
  <c r="S4" i="5"/>
  <c r="W314" i="5"/>
  <c r="W302" i="5"/>
  <c r="W290" i="5"/>
  <c r="W278" i="5"/>
  <c r="W266" i="5"/>
  <c r="W254" i="5"/>
  <c r="W242" i="5"/>
  <c r="W230" i="5"/>
  <c r="W218" i="5"/>
  <c r="W206" i="5"/>
  <c r="W194" i="5"/>
  <c r="W182" i="5"/>
  <c r="W170" i="5"/>
  <c r="W158" i="5"/>
  <c r="W146" i="5"/>
  <c r="W134" i="5"/>
  <c r="W122" i="5"/>
  <c r="W110" i="5"/>
  <c r="W98" i="5"/>
  <c r="W86" i="5"/>
  <c r="W74" i="5"/>
  <c r="W62" i="5"/>
  <c r="W50" i="5"/>
  <c r="W38" i="5"/>
  <c r="W26" i="5"/>
  <c r="W14" i="5"/>
  <c r="W313" i="5"/>
  <c r="W301" i="5"/>
  <c r="W289" i="5"/>
  <c r="W277" i="5"/>
  <c r="W265" i="5"/>
  <c r="W253" i="5"/>
  <c r="W241" i="5"/>
  <c r="W229" i="5"/>
  <c r="W217" i="5"/>
  <c r="W205" i="5"/>
  <c r="W193" i="5"/>
  <c r="W181" i="5"/>
  <c r="W169" i="5"/>
  <c r="W157" i="5"/>
  <c r="W145" i="5"/>
  <c r="W133" i="5"/>
  <c r="W121" i="5"/>
  <c r="W109" i="5"/>
  <c r="W97" i="5"/>
  <c r="W85" i="5"/>
  <c r="W73" i="5"/>
  <c r="W61" i="5"/>
  <c r="W49" i="5"/>
  <c r="W37" i="5"/>
  <c r="W25" i="5"/>
  <c r="W13" i="5"/>
  <c r="O244" i="5"/>
  <c r="O232" i="5"/>
  <c r="O220" i="5"/>
  <c r="O208" i="5"/>
  <c r="O196" i="5"/>
  <c r="O184" i="5"/>
  <c r="O160" i="5"/>
  <c r="O148" i="5"/>
  <c r="O112" i="5"/>
  <c r="O100" i="5"/>
  <c r="O76" i="5"/>
  <c r="O64" i="5"/>
  <c r="O52" i="5"/>
  <c r="O40" i="5"/>
  <c r="O28" i="5"/>
  <c r="O16" i="5"/>
  <c r="O4" i="5"/>
  <c r="S314" i="5"/>
  <c r="S302" i="5"/>
  <c r="S290" i="5"/>
  <c r="S278" i="5"/>
  <c r="S266" i="5"/>
  <c r="S254" i="5"/>
  <c r="S242" i="5"/>
  <c r="S230" i="5"/>
  <c r="S218" i="5"/>
  <c r="S206" i="5"/>
  <c r="S194" i="5"/>
  <c r="S182" i="5"/>
  <c r="S170" i="5"/>
  <c r="S158" i="5"/>
  <c r="S146" i="5"/>
  <c r="S134" i="5"/>
  <c r="S122" i="5"/>
  <c r="S110" i="5"/>
  <c r="S98" i="5"/>
  <c r="S38" i="5"/>
  <c r="S313" i="5"/>
  <c r="S301" i="5"/>
  <c r="S289" i="5"/>
  <c r="S277" i="5"/>
  <c r="S265" i="5"/>
  <c r="S253" i="5"/>
  <c r="S241" i="5"/>
  <c r="S229" i="5"/>
  <c r="S217" i="5"/>
  <c r="S205" i="5"/>
  <c r="S193" i="5"/>
  <c r="S181" i="5"/>
  <c r="S169" i="5"/>
  <c r="S157" i="5"/>
  <c r="S145" i="5"/>
  <c r="S133" i="5"/>
  <c r="S121" i="5"/>
  <c r="S109" i="5"/>
  <c r="S97" i="5"/>
  <c r="S85" i="5"/>
  <c r="S61" i="5"/>
  <c r="S37" i="5"/>
  <c r="W323" i="5"/>
  <c r="W239" i="5"/>
  <c r="G38" i="5"/>
  <c r="G26" i="5"/>
  <c r="G14" i="5"/>
  <c r="K3" i="5"/>
  <c r="K160" i="5"/>
  <c r="K136" i="5"/>
  <c r="K124" i="5"/>
  <c r="K112" i="5"/>
  <c r="K100" i="5"/>
  <c r="K88" i="5"/>
  <c r="K76" i="5"/>
  <c r="K64" i="5"/>
  <c r="K52" i="5"/>
  <c r="K40" i="5"/>
  <c r="K28" i="5"/>
  <c r="K16" i="5"/>
  <c r="K4" i="5"/>
  <c r="O254" i="5"/>
  <c r="O242" i="5"/>
  <c r="O230" i="5"/>
  <c r="O218" i="5"/>
  <c r="O194" i="5"/>
  <c r="O182" i="5"/>
  <c r="O170" i="5"/>
  <c r="O158" i="5"/>
  <c r="O146" i="5"/>
  <c r="O134" i="5"/>
  <c r="O122" i="5"/>
  <c r="O110" i="5"/>
  <c r="O98" i="5"/>
  <c r="O86" i="5"/>
  <c r="O74" i="5"/>
  <c r="O62" i="5"/>
  <c r="O50" i="5"/>
  <c r="O38" i="5"/>
  <c r="O26" i="5"/>
  <c r="O14" i="5"/>
  <c r="S3" i="5"/>
  <c r="S312" i="5"/>
  <c r="S300" i="5"/>
  <c r="S288" i="5"/>
  <c r="S276" i="5"/>
  <c r="S264" i="5"/>
  <c r="S252" i="5"/>
  <c r="S240" i="5"/>
  <c r="S228" i="5"/>
  <c r="S216" i="5"/>
  <c r="S204" i="5"/>
  <c r="S192" i="5"/>
  <c r="S180" i="5"/>
  <c r="S168" i="5"/>
  <c r="S156" i="5"/>
  <c r="S144" i="5"/>
  <c r="S132" i="5"/>
  <c r="S120" i="5"/>
  <c r="S108" i="5"/>
  <c r="S96" i="5"/>
  <c r="S84" i="5"/>
  <c r="S72" i="5"/>
  <c r="S60" i="5"/>
  <c r="S48" i="5"/>
  <c r="S24" i="5"/>
  <c r="W322" i="5"/>
  <c r="W262" i="5"/>
  <c r="W214" i="5"/>
  <c r="W190" i="5"/>
  <c r="W166" i="5"/>
  <c r="W106" i="5"/>
  <c r="W82" i="5"/>
  <c r="W46" i="5"/>
  <c r="W22" i="5"/>
  <c r="O253" i="5"/>
  <c r="O241" i="5"/>
  <c r="O229" i="5"/>
  <c r="O217" i="5"/>
  <c r="O193" i="5"/>
  <c r="O181" i="5"/>
  <c r="O157" i="5"/>
  <c r="O145" i="5"/>
  <c r="O133" i="5"/>
  <c r="O121" i="5"/>
  <c r="O109" i="5"/>
  <c r="O97" i="5"/>
  <c r="O85" i="5"/>
  <c r="O73" i="5"/>
  <c r="O61" i="5"/>
  <c r="O49" i="5"/>
  <c r="O37" i="5"/>
  <c r="O25" i="5"/>
  <c r="S323" i="5"/>
  <c r="S311" i="5"/>
  <c r="S299" i="5"/>
  <c r="S287" i="5"/>
  <c r="S275" i="5"/>
  <c r="S263" i="5"/>
  <c r="S251" i="5"/>
  <c r="S239" i="5"/>
  <c r="S227" i="5"/>
  <c r="S215" i="5"/>
  <c r="S203" i="5"/>
  <c r="S191" i="5"/>
  <c r="S179" i="5"/>
  <c r="S167" i="5"/>
  <c r="S155" i="5"/>
  <c r="S143" i="5"/>
  <c r="S131" i="5"/>
  <c r="S119" i="5"/>
  <c r="S107" i="5"/>
  <c r="S95" i="5"/>
  <c r="S83" i="5"/>
  <c r="S71" i="5"/>
  <c r="S59" i="5"/>
  <c r="S47" i="5"/>
  <c r="S23" i="5"/>
  <c r="S11" i="5"/>
  <c r="W321" i="5"/>
  <c r="W261" i="5"/>
  <c r="W213" i="5"/>
  <c r="W189" i="5"/>
  <c r="W105" i="5"/>
  <c r="W81" i="5"/>
  <c r="W21" i="5"/>
  <c r="C9" i="5"/>
  <c r="G108" i="5"/>
  <c r="G96" i="5"/>
  <c r="G84" i="5"/>
  <c r="G72" i="5"/>
  <c r="G60" i="5"/>
  <c r="G48" i="5"/>
  <c r="G36" i="5"/>
  <c r="G24" i="5"/>
  <c r="G12" i="5"/>
  <c r="K182" i="5"/>
  <c r="K158" i="5"/>
  <c r="K146" i="5"/>
  <c r="K134" i="5"/>
  <c r="K122" i="5"/>
  <c r="K110" i="5"/>
  <c r="K98" i="5"/>
  <c r="K86" i="5"/>
  <c r="K74" i="5"/>
  <c r="K62" i="5"/>
  <c r="K50" i="5"/>
  <c r="K38" i="5"/>
  <c r="K26" i="5"/>
  <c r="K14" i="5"/>
  <c r="O3" i="5"/>
  <c r="O228" i="5"/>
  <c r="O216" i="5"/>
  <c r="O192" i="5"/>
  <c r="O180" i="5"/>
  <c r="O168" i="5"/>
  <c r="O156" i="5"/>
  <c r="O144" i="5"/>
  <c r="O132" i="5"/>
  <c r="O120" i="5"/>
  <c r="O108" i="5"/>
  <c r="O96" i="5"/>
  <c r="O84" i="5"/>
  <c r="O72" i="5"/>
  <c r="O36" i="5"/>
  <c r="O24" i="5"/>
  <c r="S322" i="5"/>
  <c r="S310" i="5"/>
  <c r="S298" i="5"/>
  <c r="S274" i="5"/>
  <c r="S262" i="5"/>
  <c r="S250" i="5"/>
  <c r="S226" i="5"/>
  <c r="S214" i="5"/>
  <c r="S202" i="5"/>
  <c r="S178" i="5"/>
  <c r="S166" i="5"/>
  <c r="S154" i="5"/>
  <c r="S130" i="5"/>
  <c r="S118" i="5"/>
  <c r="S106" i="5"/>
  <c r="S94" i="5"/>
  <c r="S82" i="5"/>
  <c r="S70" i="5"/>
  <c r="S58" i="5"/>
  <c r="S46" i="5"/>
  <c r="S34" i="5"/>
  <c r="S10" i="5"/>
  <c r="W320" i="5"/>
  <c r="W308" i="5"/>
  <c r="W296" i="5"/>
  <c r="W272" i="5"/>
  <c r="W260" i="5"/>
  <c r="W20" i="5"/>
  <c r="S55" i="5"/>
  <c r="S43" i="5"/>
  <c r="S31" i="5"/>
  <c r="S19" i="5"/>
  <c r="S7" i="5"/>
  <c r="W317" i="5"/>
  <c r="W305" i="5"/>
  <c r="W293" i="5"/>
  <c r="W281" i="5"/>
  <c r="W269" i="5"/>
  <c r="W257" i="5"/>
  <c r="W245" i="5"/>
  <c r="W233" i="5"/>
  <c r="W221" i="5"/>
  <c r="W209" i="5"/>
  <c r="W197" i="5"/>
  <c r="W185" i="5"/>
  <c r="W173" i="5"/>
  <c r="W161" i="5"/>
  <c r="W149" i="5"/>
  <c r="W137" i="5"/>
  <c r="W125" i="5"/>
  <c r="W113" i="5"/>
  <c r="W101" i="5"/>
  <c r="W89" i="5"/>
  <c r="W77" i="5"/>
  <c r="W65" i="5"/>
  <c r="W53" i="5"/>
  <c r="W41" i="5"/>
  <c r="W29" i="5"/>
  <c r="W17" i="5"/>
  <c r="W5" i="5"/>
  <c r="S86" i="5"/>
  <c r="S62" i="5"/>
  <c r="S50" i="5"/>
  <c r="S26" i="5"/>
  <c r="S14" i="5"/>
  <c r="W3" i="5"/>
  <c r="W312" i="5"/>
  <c r="W300" i="5"/>
  <c r="W288" i="5"/>
  <c r="W276" i="5"/>
  <c r="W264" i="5"/>
  <c r="W252" i="5"/>
  <c r="W240" i="5"/>
  <c r="W228" i="5"/>
  <c r="W216" i="5"/>
  <c r="W204" i="5"/>
  <c r="W192" i="5"/>
  <c r="W180" i="5"/>
  <c r="W168" i="5"/>
  <c r="W156" i="5"/>
  <c r="W144" i="5"/>
  <c r="W132" i="5"/>
  <c r="W120" i="5"/>
  <c r="W108" i="5"/>
  <c r="W96" i="5"/>
  <c r="W84" i="5"/>
  <c r="W72" i="5"/>
  <c r="W60" i="5"/>
  <c r="W48" i="5"/>
  <c r="W36" i="5"/>
  <c r="W24" i="5"/>
  <c r="W12" i="5"/>
  <c r="S49" i="5"/>
  <c r="S25" i="5"/>
  <c r="S13" i="5"/>
  <c r="W311" i="5"/>
  <c r="W287" i="5"/>
  <c r="W275" i="5"/>
  <c r="W263" i="5"/>
  <c r="W251" i="5"/>
  <c r="W227" i="5"/>
  <c r="W215" i="5"/>
  <c r="W203" i="5"/>
  <c r="W191" i="5"/>
  <c r="W179" i="5"/>
  <c r="W167" i="5"/>
  <c r="W155" i="5"/>
  <c r="W143" i="5"/>
  <c r="W131" i="5"/>
  <c r="W119" i="5"/>
  <c r="W107" i="5"/>
  <c r="W95" i="5"/>
  <c r="W83" i="5"/>
  <c r="W71" i="5"/>
  <c r="W59" i="5"/>
  <c r="W47" i="5"/>
  <c r="W35" i="5"/>
  <c r="W23" i="5"/>
  <c r="W11" i="5"/>
  <c r="S12" i="5"/>
  <c r="W310" i="5"/>
  <c r="W286" i="5"/>
  <c r="W274" i="5"/>
  <c r="W250" i="5"/>
  <c r="W226" i="5"/>
  <c r="W202" i="5"/>
  <c r="W178" i="5"/>
  <c r="W154" i="5"/>
  <c r="W142" i="5"/>
  <c r="W130" i="5"/>
  <c r="W118" i="5"/>
  <c r="W94" i="5"/>
  <c r="W70" i="5"/>
  <c r="W58" i="5"/>
  <c r="W34" i="5"/>
  <c r="W10" i="5"/>
  <c r="W309" i="5"/>
  <c r="W297" i="5"/>
  <c r="W285" i="5"/>
  <c r="W273" i="5"/>
  <c r="W249" i="5"/>
  <c r="W225" i="5"/>
  <c r="W201" i="5"/>
  <c r="W177" i="5"/>
  <c r="W153" i="5"/>
  <c r="W129" i="5"/>
  <c r="W117" i="5"/>
  <c r="W93" i="5"/>
  <c r="W69" i="5"/>
  <c r="W57" i="5"/>
  <c r="W45" i="5"/>
  <c r="W33" i="5"/>
  <c r="W9" i="5"/>
  <c r="W248" i="5"/>
  <c r="W236" i="5"/>
  <c r="W224" i="5"/>
  <c r="W212" i="5"/>
  <c r="W200" i="5"/>
  <c r="W188" i="5"/>
  <c r="W176" i="5"/>
  <c r="W152" i="5"/>
  <c r="W128" i="5"/>
  <c r="W116" i="5"/>
  <c r="W104" i="5"/>
  <c r="W92" i="5"/>
  <c r="W68" i="5"/>
  <c r="W44" i="5"/>
  <c r="W32" i="5"/>
  <c r="W8" i="5"/>
  <c r="S105" i="5"/>
  <c r="S81" i="5"/>
  <c r="S69" i="5"/>
  <c r="S45" i="5"/>
  <c r="S33" i="5"/>
  <c r="S9" i="5"/>
  <c r="W319" i="5"/>
  <c r="W307" i="5"/>
  <c r="W295" i="5"/>
  <c r="W271" i="5"/>
  <c r="W247" i="5"/>
  <c r="W235" i="5"/>
  <c r="W223" i="5"/>
  <c r="W211" i="5"/>
  <c r="W199" i="5"/>
  <c r="W187" i="5"/>
  <c r="W175" i="5"/>
  <c r="W163" i="5"/>
  <c r="W151" i="5"/>
  <c r="W127" i="5"/>
  <c r="W103" i="5"/>
  <c r="W91" i="5"/>
  <c r="W67" i="5"/>
  <c r="W43" i="5"/>
  <c r="W31" i="5"/>
  <c r="W19" i="5"/>
  <c r="W7" i="5"/>
  <c r="S92" i="5"/>
  <c r="S80" i="5"/>
  <c r="S68" i="5"/>
  <c r="S56" i="5"/>
  <c r="S44" i="5"/>
  <c r="S32" i="5"/>
  <c r="S20" i="5"/>
  <c r="S8" i="5"/>
  <c r="W318" i="5"/>
  <c r="W294" i="5"/>
  <c r="W270" i="5"/>
  <c r="W258" i="5"/>
  <c r="W246" i="5"/>
  <c r="W234" i="5"/>
  <c r="W210" i="5"/>
  <c r="W186" i="5"/>
  <c r="W162" i="5"/>
  <c r="W150" i="5"/>
  <c r="W126" i="5"/>
  <c r="W102" i="5"/>
  <c r="W90" i="5"/>
  <c r="W78" i="5"/>
  <c r="W66" i="5"/>
  <c r="W42" i="5"/>
  <c r="W18" i="5"/>
  <c r="W6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<sst xmlns="http://schemas.openxmlformats.org/spreadsheetml/2006/main" count="80" uniqueCount="23">
  <si>
    <t>X</t>
  </si>
  <si>
    <t>Y</t>
  </si>
  <si>
    <t>p_d_em</t>
  </si>
  <si>
    <t>p_d_ex</t>
  </si>
  <si>
    <t>p_a_em</t>
  </si>
  <si>
    <t>p_a_ex</t>
  </si>
  <si>
    <t xml:space="preserve">D_em </t>
  </si>
  <si>
    <t>D_ex</t>
  </si>
  <si>
    <t>HF_d_em</t>
  </si>
  <si>
    <t>LF_d_em</t>
  </si>
  <si>
    <t xml:space="preserve">A_em </t>
  </si>
  <si>
    <t xml:space="preserve">A_ex </t>
  </si>
  <si>
    <t xml:space="preserve"> </t>
  </si>
  <si>
    <t>Sc/Rc</t>
  </si>
  <si>
    <t>Korr</t>
  </si>
  <si>
    <t>Norm_max</t>
  </si>
  <si>
    <t>Norm_int</t>
  </si>
  <si>
    <t>Norm_em</t>
  </si>
  <si>
    <t>lambda</t>
  </si>
  <si>
    <t>J(lambda)</t>
  </si>
  <si>
    <t>J</t>
  </si>
  <si>
    <t>Fläche</t>
  </si>
  <si>
    <t>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</si>
</sst>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1" fontId="0" fillId="4" borderId="0" xfId="0" applyNumberForma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0" borderId="0" xfId="0" applyBorder="1"/>
    <xf numFmtId="0" fontId="0" fillId="2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0" fillId="4" borderId="0" xfId="0" applyNumberFormat="1" applyFill="1" applyBorder="1" applyAlignment="1">
      <alignment horizontal="center"/>
    </xf>
    <xf numFmtId="164" fontId="0" fillId="0" borderId="0" xfId="0" applyNumberFormat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right"/>
    </xf>
    <xf numFmtId="0" fontId="0" fillId="0" borderId="0" xfId="0" applyBorder="1" applyAlignment="1">
      <alignment horizontal="right"/>
    </xf>
    <xf numFmtId="0" fontId="3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323"/>
  <sheetViews>
    <sheetView zoomScale="80" zoomScaleNormal="80" workbookViewId="0">
      <selection activeCell="P1" sqref="P1:P1048576"/>
    </sheetView>
  </sheetViews>
  <sheetFormatPr baseColWidth="10" defaultColWidth="3.5703125" defaultRowHeight="12.75" x14ac:dyDescent="0.2"/>
  <cols>
    <col min="1" max="1" width="3.5703125" style="2" customWidth="1"/>
    <col min="2" max="2" width="7.5703125" style="2" bestFit="1" customWidth="1"/>
    <col min="3" max="3" width="10" style="2" bestFit="1" customWidth="1"/>
    <col min="4" max="4" width="3.5703125" style="2" customWidth="1"/>
    <col min="5" max="5" width="7.5703125" style="2" bestFit="1" customWidth="1"/>
    <col min="6" max="6" width="10" style="2" bestFit="1" customWidth="1"/>
    <col min="7" max="7" width="3.5703125" style="2" customWidth="1"/>
    <col min="8" max="8" width="7" style="2" bestFit="1" customWidth="1"/>
    <col min="9" max="9" width="10" style="2" bestFit="1" customWidth="1"/>
    <col min="10" max="10" width="3.5703125" style="2" customWidth="1"/>
    <col min="11" max="11" width="7" style="2" bestFit="1" customWidth="1"/>
    <col min="12" max="12" width="10" style="2" bestFit="1" customWidth="1"/>
    <col min="13" max="13" width="3.5703125" style="2" customWidth="1"/>
    <col min="14" max="14" width="3.5703125" style="6" customWidth="1"/>
    <col min="15" max="15" width="3.5703125" style="2" customWidth="1"/>
    <col min="16" max="16" width="14.5703125" style="2" bestFit="1" customWidth="1"/>
    <col min="17" max="17" width="8" style="7" bestFit="1" customWidth="1"/>
    <col min="18" max="18" width="3.42578125" style="2" customWidth="1"/>
    <col min="19" max="19" width="5.28515625" style="2" bestFit="1" customWidth="1"/>
    <col min="20" max="20" width="10" style="2" bestFit="1" customWidth="1"/>
    <col min="21" max="21" width="3.5703125" style="2" customWidth="1"/>
    <col min="22" max="22" width="7.7109375" style="2" bestFit="1" customWidth="1"/>
    <col min="23" max="23" width="10" style="2" bestFit="1" customWidth="1"/>
    <col min="24" max="24" width="3.5703125" style="2" customWidth="1"/>
    <col min="25" max="25" width="7.140625" style="2" bestFit="1" customWidth="1"/>
    <col min="26" max="26" width="10" style="2" bestFit="1" customWidth="1"/>
    <col min="27" max="27" width="3.5703125" style="2" customWidth="1"/>
    <col min="28" max="28" width="1.5703125" style="6" bestFit="1" customWidth="1"/>
    <col min="29" max="29" width="3.5703125" style="2" customWidth="1"/>
    <col min="30" max="30" width="9" style="2" bestFit="1" customWidth="1"/>
    <col min="31" max="31" width="10" style="2" bestFit="1" customWidth="1"/>
    <col min="32" max="32" width="3.5703125" style="2" customWidth="1"/>
    <col min="33" max="34" width="10" style="2" customWidth="1"/>
    <col min="35" max="35" width="3.5703125" style="2" customWidth="1"/>
    <col min="36" max="36" width="8.7109375" style="2" bestFit="1" customWidth="1"/>
    <col min="37" max="37" width="10" style="2" bestFit="1" customWidth="1"/>
    <col min="38" max="38" width="3.5703125" style="2" customWidth="1"/>
    <col min="39" max="40" width="10" style="2" customWidth="1"/>
    <col min="41" max="16384" width="3.5703125" style="2"/>
  </cols>
  <sheetData>
    <row r="1" spans="2:34" x14ac:dyDescent="0.2">
      <c r="B1" s="9" t="s">
        <v>2</v>
      </c>
      <c r="C1" s="4" t="s">
        <v>13</v>
      </c>
      <c r="E1" s="10" t="s">
        <v>4</v>
      </c>
      <c r="F1" s="3" t="s">
        <v>13</v>
      </c>
      <c r="H1" s="11" t="s">
        <v>3</v>
      </c>
      <c r="I1" s="1" t="s">
        <v>13</v>
      </c>
      <c r="K1" s="12" t="s">
        <v>5</v>
      </c>
      <c r="L1" s="5" t="s">
        <v>13</v>
      </c>
      <c r="P1" s="2" t="s">
        <v>6</v>
      </c>
      <c r="Q1" s="7" t="s">
        <v>13</v>
      </c>
      <c r="S1" s="2" t="s">
        <v>7</v>
      </c>
      <c r="T1" s="2" t="s">
        <v>13</v>
      </c>
      <c r="V1" s="2" t="s">
        <v>10</v>
      </c>
      <c r="W1" s="2" t="s">
        <v>13</v>
      </c>
      <c r="Y1" s="2" t="s">
        <v>11</v>
      </c>
      <c r="Z1" s="2" t="s">
        <v>13</v>
      </c>
      <c r="AD1" s="2" t="s">
        <v>8</v>
      </c>
      <c r="AE1" s="2" t="s">
        <v>13</v>
      </c>
      <c r="AG1" s="2" t="s">
        <v>9</v>
      </c>
      <c r="AH1" s="2" t="s">
        <v>13</v>
      </c>
    </row>
    <row r="2" spans="2:34" x14ac:dyDescent="0.2">
      <c r="B2" s="4" t="s">
        <v>0</v>
      </c>
      <c r="C2" s="4" t="s">
        <v>1</v>
      </c>
      <c r="E2" s="3" t="s">
        <v>0</v>
      </c>
      <c r="F2" s="3" t="s">
        <v>1</v>
      </c>
      <c r="H2" s="1" t="s">
        <v>0</v>
      </c>
      <c r="I2" s="1" t="s">
        <v>1</v>
      </c>
      <c r="K2" s="5" t="s">
        <v>0</v>
      </c>
      <c r="L2" s="5" t="s">
        <v>1</v>
      </c>
      <c r="P2" s="4" t="s">
        <v>0</v>
      </c>
      <c r="Q2" s="8" t="s">
        <v>1</v>
      </c>
      <c r="S2" s="1" t="s">
        <v>0</v>
      </c>
      <c r="T2" s="1" t="s">
        <v>1</v>
      </c>
      <c r="V2" s="3" t="s">
        <v>0</v>
      </c>
      <c r="W2" s="3" t="s">
        <v>1</v>
      </c>
      <c r="Y2" s="5" t="s">
        <v>0</v>
      </c>
      <c r="Z2" s="5" t="s">
        <v>1</v>
      </c>
      <c r="AD2" s="4" t="s">
        <v>0</v>
      </c>
      <c r="AE2" s="4" t="s">
        <v>1</v>
      </c>
      <c r="AF2" s="2" t="s">
        <v>12</v>
      </c>
      <c r="AG2" s="4" t="s">
        <v>0</v>
      </c>
      <c r="AH2" s="4" t="s">
        <v>1</v>
      </c>
    </row>
    <row r="3" spans="2:34" x14ac:dyDescent="0.2">
      <c r="B3" s="2">
        <v>480</v>
      </c>
      <c r="C3" s="2">
        <v>2837.9165400000002</v>
      </c>
      <c r="E3" s="2">
        <v>620</v>
      </c>
      <c r="F3" s="2">
        <v>671.35357999999997</v>
      </c>
      <c r="H3" s="2">
        <v>400</v>
      </c>
      <c r="I3" s="2">
        <v>734.21550000000002</v>
      </c>
      <c r="K3" s="2">
        <v>400</v>
      </c>
      <c r="L3" s="2">
        <v>894.09586999999999</v>
      </c>
      <c r="P3" s="2">
        <v>480</v>
      </c>
      <c r="Q3" s="7">
        <v>2868.4257400000001</v>
      </c>
      <c r="S3" s="2">
        <v>400</v>
      </c>
      <c r="T3" s="2">
        <v>3039.8656999999998</v>
      </c>
      <c r="V3" s="2">
        <v>620</v>
      </c>
      <c r="W3" s="2">
        <v>1828.6869300000001</v>
      </c>
      <c r="Y3" s="2">
        <v>400</v>
      </c>
      <c r="Z3" s="2">
        <v>1738.6592800000001</v>
      </c>
      <c r="AD3" s="2">
        <v>480</v>
      </c>
      <c r="AE3" s="2">
        <v>2742.4301099999998</v>
      </c>
      <c r="AG3" s="2">
        <v>480</v>
      </c>
      <c r="AH3" s="2">
        <v>3068.9351200000001</v>
      </c>
    </row>
    <row r="4" spans="2:34" x14ac:dyDescent="0.2">
      <c r="B4" s="2">
        <v>481</v>
      </c>
      <c r="C4" s="2">
        <v>2031.2624900000001</v>
      </c>
      <c r="E4" s="2">
        <v>621</v>
      </c>
      <c r="F4" s="2">
        <v>472.04136999999997</v>
      </c>
      <c r="H4" s="2">
        <v>401</v>
      </c>
      <c r="I4" s="2">
        <v>730.68331999999998</v>
      </c>
      <c r="K4" s="2">
        <v>401</v>
      </c>
      <c r="L4" s="2">
        <v>700.94892000000004</v>
      </c>
      <c r="P4" s="2">
        <v>481</v>
      </c>
      <c r="Q4" s="7">
        <v>2638.4417199999998</v>
      </c>
      <c r="S4" s="2">
        <v>401</v>
      </c>
      <c r="T4" s="2">
        <v>3183.8126000000002</v>
      </c>
      <c r="V4" s="2">
        <v>621</v>
      </c>
      <c r="W4" s="2">
        <v>1882.53971</v>
      </c>
      <c r="Y4" s="2">
        <v>401</v>
      </c>
      <c r="Z4" s="2">
        <v>1938.63904</v>
      </c>
      <c r="AD4" s="2">
        <v>481</v>
      </c>
      <c r="AE4" s="2">
        <v>2556.1593899999998</v>
      </c>
      <c r="AG4" s="2">
        <v>481</v>
      </c>
      <c r="AH4" s="2">
        <v>2697.80836</v>
      </c>
    </row>
    <row r="5" spans="2:34" x14ac:dyDescent="0.2">
      <c r="B5" s="2">
        <v>482</v>
      </c>
      <c r="C5" s="2">
        <v>1571.7778900000001</v>
      </c>
      <c r="E5" s="2">
        <v>622</v>
      </c>
      <c r="F5" s="2">
        <v>383.40219000000002</v>
      </c>
      <c r="H5" s="2">
        <v>402</v>
      </c>
      <c r="I5" s="2">
        <v>691.85607000000005</v>
      </c>
      <c r="K5" s="2">
        <v>402</v>
      </c>
      <c r="L5" s="2">
        <v>865.46124999999995</v>
      </c>
      <c r="P5" s="2">
        <v>482</v>
      </c>
      <c r="Q5" s="7">
        <v>2626.58221</v>
      </c>
      <c r="S5" s="2">
        <v>402</v>
      </c>
      <c r="T5" s="2">
        <v>3227.2704199999998</v>
      </c>
      <c r="V5" s="2">
        <v>622</v>
      </c>
      <c r="W5" s="2">
        <v>2067.0255099999999</v>
      </c>
      <c r="Y5" s="2">
        <v>402</v>
      </c>
      <c r="Z5" s="2">
        <v>1839.86509</v>
      </c>
      <c r="AD5" s="2">
        <v>482</v>
      </c>
      <c r="AE5" s="2">
        <v>2523.6509299999998</v>
      </c>
      <c r="AG5" s="2">
        <v>482</v>
      </c>
      <c r="AH5" s="2">
        <v>2594.6024900000002</v>
      </c>
    </row>
    <row r="6" spans="2:34" x14ac:dyDescent="0.2">
      <c r="B6" s="2">
        <v>483</v>
      </c>
      <c r="C6" s="2">
        <v>1222.1029799999999</v>
      </c>
      <c r="E6" s="2">
        <v>623</v>
      </c>
      <c r="F6" s="2">
        <v>171.19154</v>
      </c>
      <c r="H6" s="2">
        <v>403</v>
      </c>
      <c r="I6" s="2">
        <v>714.90643</v>
      </c>
      <c r="K6" s="2">
        <v>403</v>
      </c>
      <c r="L6" s="2">
        <v>764.53823</v>
      </c>
      <c r="P6" s="2">
        <v>483</v>
      </c>
      <c r="Q6" s="7">
        <v>2853.96164</v>
      </c>
      <c r="S6" s="2">
        <v>403</v>
      </c>
      <c r="T6" s="2">
        <v>3228.3149100000001</v>
      </c>
      <c r="V6" s="2">
        <v>623</v>
      </c>
      <c r="W6" s="2">
        <v>2390.78631</v>
      </c>
      <c r="Y6" s="2">
        <v>403</v>
      </c>
      <c r="Z6" s="2">
        <v>1742.4466199999999</v>
      </c>
      <c r="AD6" s="2">
        <v>483</v>
      </c>
      <c r="AE6" s="2">
        <v>2730.0812999999998</v>
      </c>
      <c r="AG6" s="2">
        <v>483</v>
      </c>
      <c r="AH6" s="2">
        <v>2862.5473999999999</v>
      </c>
    </row>
    <row r="7" spans="2:34" x14ac:dyDescent="0.2">
      <c r="B7" s="2">
        <v>484</v>
      </c>
      <c r="C7" s="2">
        <v>1012.78587</v>
      </c>
      <c r="E7" s="2">
        <v>624</v>
      </c>
      <c r="F7" s="2">
        <v>288.78330999999997</v>
      </c>
      <c r="H7" s="2">
        <v>404</v>
      </c>
      <c r="I7" s="2">
        <v>827.72497999999996</v>
      </c>
      <c r="K7" s="2">
        <v>404</v>
      </c>
      <c r="L7" s="2">
        <v>769.52755000000002</v>
      </c>
      <c r="P7" s="2">
        <v>484</v>
      </c>
      <c r="Q7" s="7">
        <v>3237.2828599999998</v>
      </c>
      <c r="S7" s="2">
        <v>404</v>
      </c>
      <c r="T7" s="2">
        <v>3380.2191800000001</v>
      </c>
      <c r="V7" s="2">
        <v>624</v>
      </c>
      <c r="W7" s="2">
        <v>2758.6792599999999</v>
      </c>
      <c r="Y7" s="2">
        <v>404</v>
      </c>
      <c r="Z7" s="2">
        <v>1719.35743</v>
      </c>
      <c r="AD7" s="2">
        <v>484</v>
      </c>
      <c r="AE7" s="2">
        <v>3127.6197699999998</v>
      </c>
      <c r="AG7" s="2">
        <v>484</v>
      </c>
      <c r="AH7" s="2">
        <v>3160.2715800000001</v>
      </c>
    </row>
    <row r="8" spans="2:34" x14ac:dyDescent="0.2">
      <c r="B8" s="2">
        <v>485</v>
      </c>
      <c r="C8" s="2">
        <v>925.49834999999996</v>
      </c>
      <c r="E8" s="2">
        <v>625</v>
      </c>
      <c r="F8" s="2">
        <v>209.78880000000001</v>
      </c>
      <c r="H8" s="2">
        <v>405</v>
      </c>
      <c r="I8" s="2">
        <v>739.47339999999997</v>
      </c>
      <c r="K8" s="2">
        <v>405</v>
      </c>
      <c r="L8" s="2">
        <v>797.49581999999998</v>
      </c>
      <c r="P8" s="2">
        <v>485</v>
      </c>
      <c r="Q8" s="7">
        <v>3737.93307</v>
      </c>
      <c r="S8" s="2">
        <v>405</v>
      </c>
      <c r="T8" s="2">
        <v>3631.9103799999998</v>
      </c>
      <c r="V8" s="2">
        <v>625</v>
      </c>
      <c r="W8" s="2">
        <v>3067.0210900000002</v>
      </c>
      <c r="Y8" s="2">
        <v>405</v>
      </c>
      <c r="Z8" s="2">
        <v>1508.0922800000001</v>
      </c>
      <c r="AD8" s="2">
        <v>485</v>
      </c>
      <c r="AE8" s="2">
        <v>3535.7993700000002</v>
      </c>
      <c r="AG8" s="2">
        <v>485</v>
      </c>
      <c r="AH8" s="2">
        <v>3498.89201</v>
      </c>
    </row>
    <row r="9" spans="2:34" x14ac:dyDescent="0.2">
      <c r="B9" s="2">
        <v>486</v>
      </c>
      <c r="C9" s="2">
        <v>773.55426999999997</v>
      </c>
      <c r="E9" s="2">
        <v>626</v>
      </c>
      <c r="F9" s="2">
        <v>209.00738999999999</v>
      </c>
      <c r="H9" s="2">
        <v>406</v>
      </c>
      <c r="I9" s="2">
        <v>652.59348999999997</v>
      </c>
      <c r="K9" s="2">
        <v>406</v>
      </c>
      <c r="L9" s="2">
        <v>868.18159000000003</v>
      </c>
      <c r="P9" s="2">
        <v>486</v>
      </c>
      <c r="Q9" s="7">
        <v>4534.5885900000003</v>
      </c>
      <c r="S9" s="2">
        <v>406</v>
      </c>
      <c r="T9" s="2">
        <v>3895.7584299999999</v>
      </c>
      <c r="V9" s="2">
        <v>626</v>
      </c>
      <c r="W9" s="2">
        <v>3598.72388</v>
      </c>
      <c r="Y9" s="2">
        <v>406</v>
      </c>
      <c r="Z9" s="2">
        <v>1474.2416900000001</v>
      </c>
      <c r="AD9" s="2">
        <v>486</v>
      </c>
      <c r="AE9" s="2">
        <v>4352.5924999999997</v>
      </c>
      <c r="AG9" s="2">
        <v>486</v>
      </c>
      <c r="AH9" s="2">
        <v>4173.6494499999999</v>
      </c>
    </row>
    <row r="10" spans="2:34" x14ac:dyDescent="0.2">
      <c r="B10" s="2">
        <v>487</v>
      </c>
      <c r="C10" s="2">
        <v>711.93718999999999</v>
      </c>
      <c r="E10" s="2">
        <v>627</v>
      </c>
      <c r="F10" s="2">
        <v>165.41504</v>
      </c>
      <c r="H10" s="2">
        <v>407</v>
      </c>
      <c r="I10" s="2">
        <v>701.3288</v>
      </c>
      <c r="K10" s="2">
        <v>407</v>
      </c>
      <c r="L10" s="2">
        <v>884.78133000000003</v>
      </c>
      <c r="P10" s="2">
        <v>487</v>
      </c>
      <c r="Q10" s="7">
        <v>5457.2076699999998</v>
      </c>
      <c r="S10" s="2">
        <v>407</v>
      </c>
      <c r="T10" s="2">
        <v>3897.73288</v>
      </c>
      <c r="V10" s="2">
        <v>627</v>
      </c>
      <c r="W10" s="2">
        <v>4169.6050999999998</v>
      </c>
      <c r="Y10" s="2">
        <v>407</v>
      </c>
      <c r="Z10" s="2">
        <v>1232.8132499999999</v>
      </c>
      <c r="AD10" s="2">
        <v>487</v>
      </c>
      <c r="AE10" s="2">
        <v>5117.7795100000003</v>
      </c>
      <c r="AG10" s="2">
        <v>487</v>
      </c>
      <c r="AH10" s="2">
        <v>4927.7527200000004</v>
      </c>
    </row>
    <row r="11" spans="2:34" x14ac:dyDescent="0.2">
      <c r="B11" s="2">
        <v>488</v>
      </c>
      <c r="C11" s="2">
        <v>699.16832999999997</v>
      </c>
      <c r="E11" s="2">
        <v>628</v>
      </c>
      <c r="F11" s="2">
        <v>187.63435999999999</v>
      </c>
      <c r="H11" s="2">
        <v>408</v>
      </c>
      <c r="I11" s="2">
        <v>755.96720000000005</v>
      </c>
      <c r="K11" s="2">
        <v>408</v>
      </c>
      <c r="L11" s="2">
        <v>697.90614000000005</v>
      </c>
      <c r="P11" s="2">
        <v>488</v>
      </c>
      <c r="Q11" s="7">
        <v>6462.4516400000002</v>
      </c>
      <c r="S11" s="2">
        <v>408</v>
      </c>
      <c r="T11" s="2">
        <v>4156.3520600000002</v>
      </c>
      <c r="V11" s="2">
        <v>628</v>
      </c>
      <c r="W11" s="2">
        <v>5160.77999</v>
      </c>
      <c r="Y11" s="2">
        <v>408</v>
      </c>
      <c r="Z11" s="2">
        <v>1568.87374</v>
      </c>
      <c r="AD11" s="2">
        <v>488</v>
      </c>
      <c r="AE11" s="2">
        <v>6177.4397300000001</v>
      </c>
      <c r="AG11" s="2">
        <v>488</v>
      </c>
      <c r="AH11" s="2">
        <v>5869.4886299999998</v>
      </c>
    </row>
    <row r="12" spans="2:34" x14ac:dyDescent="0.2">
      <c r="B12" s="2">
        <v>489</v>
      </c>
      <c r="C12" s="2">
        <v>622.46473000000003</v>
      </c>
      <c r="E12" s="2">
        <v>629</v>
      </c>
      <c r="F12" s="2">
        <v>290.02140000000003</v>
      </c>
      <c r="H12" s="2">
        <v>409</v>
      </c>
      <c r="I12" s="2">
        <v>662.82444999999996</v>
      </c>
      <c r="K12" s="2">
        <v>409</v>
      </c>
      <c r="L12" s="2">
        <v>857.55593999999996</v>
      </c>
      <c r="P12" s="2">
        <v>489</v>
      </c>
      <c r="Q12" s="7">
        <v>7899.9338799999996</v>
      </c>
      <c r="S12" s="2">
        <v>409</v>
      </c>
      <c r="T12" s="2">
        <v>4285.1991600000001</v>
      </c>
      <c r="V12" s="2">
        <v>629</v>
      </c>
      <c r="W12" s="2">
        <v>5843.4859900000001</v>
      </c>
      <c r="Y12" s="2">
        <v>409</v>
      </c>
      <c r="Z12" s="2">
        <v>1447.5823499999999</v>
      </c>
      <c r="AD12" s="2">
        <v>489</v>
      </c>
      <c r="AE12" s="2">
        <v>7256.2624500000002</v>
      </c>
      <c r="AG12" s="2">
        <v>489</v>
      </c>
      <c r="AH12" s="2">
        <v>7176.8478400000004</v>
      </c>
    </row>
    <row r="13" spans="2:34" x14ac:dyDescent="0.2">
      <c r="B13" s="2">
        <v>490</v>
      </c>
      <c r="C13" s="2">
        <v>573.88383999999996</v>
      </c>
      <c r="E13" s="2">
        <v>630</v>
      </c>
      <c r="F13" s="2">
        <v>91.252480000000006</v>
      </c>
      <c r="H13" s="2">
        <v>410</v>
      </c>
      <c r="I13" s="2">
        <v>639.66700000000003</v>
      </c>
      <c r="K13" s="2">
        <v>410</v>
      </c>
      <c r="L13" s="2">
        <v>941.36455999999998</v>
      </c>
      <c r="P13" s="2">
        <v>490</v>
      </c>
      <c r="Q13" s="7">
        <v>9538.8170699999991</v>
      </c>
      <c r="S13" s="2">
        <v>410</v>
      </c>
      <c r="T13" s="2">
        <v>4487.6090299999996</v>
      </c>
      <c r="V13" s="2">
        <v>630</v>
      </c>
      <c r="W13" s="2">
        <v>6896.8728700000001</v>
      </c>
      <c r="Y13" s="2">
        <v>410</v>
      </c>
      <c r="Z13" s="2">
        <v>1087.21801</v>
      </c>
      <c r="AD13" s="2">
        <v>490</v>
      </c>
      <c r="AE13" s="2">
        <v>8882.5542499999992</v>
      </c>
      <c r="AG13" s="2">
        <v>490</v>
      </c>
      <c r="AH13" s="2">
        <v>8574.0514700000003</v>
      </c>
    </row>
    <row r="14" spans="2:34" x14ac:dyDescent="0.2">
      <c r="B14" s="2">
        <v>491</v>
      </c>
      <c r="C14" s="2">
        <v>551.42654000000005</v>
      </c>
      <c r="E14" s="2">
        <v>631</v>
      </c>
      <c r="F14" s="2">
        <v>35.017229999999998</v>
      </c>
      <c r="H14" s="2">
        <v>411</v>
      </c>
      <c r="I14" s="2">
        <v>654.35346000000004</v>
      </c>
      <c r="K14" s="2">
        <v>411</v>
      </c>
      <c r="L14" s="2">
        <v>791.33549000000005</v>
      </c>
      <c r="P14" s="2">
        <v>491</v>
      </c>
      <c r="Q14" s="7">
        <v>11323.36652</v>
      </c>
      <c r="S14" s="2">
        <v>411</v>
      </c>
      <c r="T14" s="2">
        <v>4713.8738499999999</v>
      </c>
      <c r="V14" s="2">
        <v>631</v>
      </c>
      <c r="W14" s="2">
        <v>7875.2822500000002</v>
      </c>
      <c r="Y14" s="2">
        <v>411</v>
      </c>
      <c r="Z14" s="2">
        <v>1393.1688999999999</v>
      </c>
      <c r="AD14" s="2">
        <v>491</v>
      </c>
      <c r="AE14" s="2">
        <v>10511.577359999999</v>
      </c>
      <c r="AG14" s="2">
        <v>491</v>
      </c>
      <c r="AH14" s="2">
        <v>10079.8344</v>
      </c>
    </row>
    <row r="15" spans="2:34" x14ac:dyDescent="0.2">
      <c r="B15" s="2">
        <v>492</v>
      </c>
      <c r="C15" s="2">
        <v>523.16909999999996</v>
      </c>
      <c r="E15" s="2">
        <v>632</v>
      </c>
      <c r="F15" s="2">
        <v>119.175</v>
      </c>
      <c r="H15" s="2">
        <v>412</v>
      </c>
      <c r="I15" s="2">
        <v>681.38301999999999</v>
      </c>
      <c r="K15" s="2">
        <v>412</v>
      </c>
      <c r="L15" s="2">
        <v>637.51484000000005</v>
      </c>
      <c r="P15" s="2">
        <v>492</v>
      </c>
      <c r="Q15" s="7">
        <v>13670.17655</v>
      </c>
      <c r="S15" s="2">
        <v>412</v>
      </c>
      <c r="T15" s="2">
        <v>5031.97181</v>
      </c>
      <c r="V15" s="2">
        <v>632</v>
      </c>
      <c r="W15" s="2">
        <v>9368.3973000000005</v>
      </c>
      <c r="Y15" s="2">
        <v>412</v>
      </c>
      <c r="Z15" s="2">
        <v>1115.3155099999999</v>
      </c>
      <c r="AD15" s="2">
        <v>492</v>
      </c>
      <c r="AE15" s="2">
        <v>12624.96643</v>
      </c>
      <c r="AG15" s="2">
        <v>492</v>
      </c>
      <c r="AH15" s="2">
        <v>12101.21759</v>
      </c>
    </row>
    <row r="16" spans="2:34" x14ac:dyDescent="0.2">
      <c r="B16" s="2">
        <v>493</v>
      </c>
      <c r="C16" s="2">
        <v>496.66561000000002</v>
      </c>
      <c r="E16" s="2">
        <v>633</v>
      </c>
      <c r="F16" s="2">
        <v>129.19242</v>
      </c>
      <c r="H16" s="2">
        <v>413</v>
      </c>
      <c r="I16" s="2">
        <v>625.79323999999997</v>
      </c>
      <c r="K16" s="2">
        <v>413</v>
      </c>
      <c r="L16" s="2">
        <v>708.64889000000005</v>
      </c>
      <c r="P16" s="2">
        <v>493</v>
      </c>
      <c r="Q16" s="7">
        <v>16207.55825</v>
      </c>
      <c r="S16" s="2">
        <v>413</v>
      </c>
      <c r="T16" s="2">
        <v>5258.5292799999997</v>
      </c>
      <c r="V16" s="2">
        <v>633</v>
      </c>
      <c r="W16" s="2">
        <v>10722.542880000001</v>
      </c>
      <c r="Y16" s="2">
        <v>413</v>
      </c>
      <c r="Z16" s="2">
        <v>1032.68993</v>
      </c>
      <c r="AD16" s="2">
        <v>493</v>
      </c>
      <c r="AE16" s="2">
        <v>15158.559569999999</v>
      </c>
      <c r="AG16" s="2">
        <v>493</v>
      </c>
      <c r="AH16" s="2">
        <v>14399.611860000001</v>
      </c>
    </row>
    <row r="17" spans="2:34" x14ac:dyDescent="0.2">
      <c r="B17" s="2">
        <v>494</v>
      </c>
      <c r="C17" s="2">
        <v>476.20321999999999</v>
      </c>
      <c r="E17" s="2">
        <v>634</v>
      </c>
      <c r="F17" s="2">
        <v>10.740159999999999</v>
      </c>
      <c r="H17" s="2">
        <v>414</v>
      </c>
      <c r="I17" s="2">
        <v>623.20618999999999</v>
      </c>
      <c r="K17" s="2">
        <v>414</v>
      </c>
      <c r="L17" s="2">
        <v>638.84699999999998</v>
      </c>
      <c r="P17" s="2">
        <v>494</v>
      </c>
      <c r="Q17" s="7">
        <v>19300.919170000001</v>
      </c>
      <c r="S17" s="2">
        <v>414</v>
      </c>
      <c r="T17" s="2">
        <v>5687.6893899999995</v>
      </c>
      <c r="V17" s="2">
        <v>634</v>
      </c>
      <c r="W17" s="2">
        <v>12935.918960000001</v>
      </c>
      <c r="Y17" s="2">
        <v>414</v>
      </c>
      <c r="Z17" s="2">
        <v>1071.07404</v>
      </c>
      <c r="AD17" s="2">
        <v>494</v>
      </c>
      <c r="AE17" s="2">
        <v>17914.846669999999</v>
      </c>
      <c r="AG17" s="2">
        <v>494</v>
      </c>
      <c r="AH17" s="2">
        <v>17142.316569999999</v>
      </c>
    </row>
    <row r="18" spans="2:34" x14ac:dyDescent="0.2">
      <c r="B18" s="2">
        <v>495</v>
      </c>
      <c r="C18" s="2">
        <v>442.65149000000002</v>
      </c>
      <c r="E18" s="2">
        <v>635</v>
      </c>
      <c r="F18" s="2">
        <v>84.926969999999997</v>
      </c>
      <c r="H18" s="2">
        <v>415</v>
      </c>
      <c r="I18" s="2">
        <v>636.98298</v>
      </c>
      <c r="K18" s="2">
        <v>415</v>
      </c>
      <c r="L18" s="2">
        <v>527.19833000000006</v>
      </c>
      <c r="P18" s="2">
        <v>495</v>
      </c>
      <c r="Q18" s="7">
        <v>23019.156210000001</v>
      </c>
      <c r="S18" s="2">
        <v>415</v>
      </c>
      <c r="T18" s="2">
        <v>5959.8836799999999</v>
      </c>
      <c r="V18" s="2">
        <v>635</v>
      </c>
      <c r="W18" s="2">
        <v>14990.43123</v>
      </c>
      <c r="Y18" s="2">
        <v>415</v>
      </c>
      <c r="Z18" s="2">
        <v>851.65255000000002</v>
      </c>
      <c r="AD18" s="2">
        <v>495</v>
      </c>
      <c r="AE18" s="2">
        <v>20857.590230000002</v>
      </c>
      <c r="AG18" s="2">
        <v>495</v>
      </c>
      <c r="AH18" s="2">
        <v>20199.94699</v>
      </c>
    </row>
    <row r="19" spans="2:34" x14ac:dyDescent="0.2">
      <c r="B19" s="2">
        <v>496</v>
      </c>
      <c r="C19" s="2">
        <v>455.82094999999998</v>
      </c>
      <c r="E19" s="2">
        <v>636</v>
      </c>
      <c r="F19" s="2">
        <v>121.05056999999999</v>
      </c>
      <c r="H19" s="2">
        <v>416</v>
      </c>
      <c r="I19" s="2">
        <v>592.71969999999999</v>
      </c>
      <c r="K19" s="2">
        <v>416</v>
      </c>
      <c r="L19" s="2">
        <v>508.77591999999999</v>
      </c>
      <c r="P19" s="2">
        <v>496</v>
      </c>
      <c r="Q19" s="7">
        <v>26523.659650000001</v>
      </c>
      <c r="S19" s="2">
        <v>416</v>
      </c>
      <c r="T19" s="2">
        <v>6747.3161</v>
      </c>
      <c r="V19" s="2">
        <v>636</v>
      </c>
      <c r="W19" s="2">
        <v>17102.326359999999</v>
      </c>
      <c r="Y19" s="2">
        <v>416</v>
      </c>
      <c r="Z19" s="2">
        <v>954.91801999999996</v>
      </c>
      <c r="AD19" s="2">
        <v>496</v>
      </c>
      <c r="AE19" s="2">
        <v>24661.066289999999</v>
      </c>
      <c r="AG19" s="2">
        <v>496</v>
      </c>
      <c r="AH19" s="2">
        <v>23962.086960000001</v>
      </c>
    </row>
    <row r="20" spans="2:34" x14ac:dyDescent="0.2">
      <c r="B20" s="2">
        <v>497</v>
      </c>
      <c r="C20" s="2">
        <v>434.59649000000002</v>
      </c>
      <c r="E20" s="2">
        <v>637</v>
      </c>
      <c r="F20" s="2">
        <v>28.907889999999998</v>
      </c>
      <c r="H20" s="2">
        <v>417</v>
      </c>
      <c r="I20" s="2">
        <v>667.59009000000003</v>
      </c>
      <c r="K20" s="2">
        <v>417</v>
      </c>
      <c r="L20" s="2">
        <v>774.22194000000002</v>
      </c>
      <c r="P20" s="2">
        <v>497</v>
      </c>
      <c r="Q20" s="7">
        <v>31056.000619999999</v>
      </c>
      <c r="S20" s="2">
        <v>417</v>
      </c>
      <c r="T20" s="2">
        <v>7219.82665</v>
      </c>
      <c r="V20" s="2">
        <v>637</v>
      </c>
      <c r="W20" s="2">
        <v>20258.44744</v>
      </c>
      <c r="Y20" s="2">
        <v>417</v>
      </c>
      <c r="Z20" s="2">
        <v>904.74865999999997</v>
      </c>
      <c r="AD20" s="2">
        <v>497</v>
      </c>
      <c r="AE20" s="2">
        <v>28489.06351</v>
      </c>
      <c r="AG20" s="2">
        <v>497</v>
      </c>
      <c r="AH20" s="2">
        <v>27630.653539999999</v>
      </c>
    </row>
    <row r="21" spans="2:34" x14ac:dyDescent="0.2">
      <c r="B21" s="2">
        <v>498</v>
      </c>
      <c r="C21" s="2">
        <v>392.86802</v>
      </c>
      <c r="E21" s="2">
        <v>638</v>
      </c>
      <c r="F21" s="2">
        <v>155.28475</v>
      </c>
      <c r="H21" s="2">
        <v>418</v>
      </c>
      <c r="I21" s="2">
        <v>671.64562999999998</v>
      </c>
      <c r="K21" s="2">
        <v>418</v>
      </c>
      <c r="L21" s="2">
        <v>960.10787000000005</v>
      </c>
      <c r="P21" s="2">
        <v>498</v>
      </c>
      <c r="Q21" s="7">
        <v>35755.755570000001</v>
      </c>
      <c r="S21" s="2">
        <v>418</v>
      </c>
      <c r="T21" s="2">
        <v>7538.7282999999998</v>
      </c>
      <c r="V21" s="2">
        <v>638</v>
      </c>
      <c r="W21" s="2">
        <v>22930.39255</v>
      </c>
      <c r="Y21" s="2">
        <v>418</v>
      </c>
      <c r="Z21" s="2">
        <v>963.30222000000003</v>
      </c>
      <c r="AD21" s="2">
        <v>498</v>
      </c>
      <c r="AE21" s="2">
        <v>32785.277499999997</v>
      </c>
      <c r="AG21" s="2">
        <v>498</v>
      </c>
      <c r="AH21" s="2">
        <v>31634.989519999999</v>
      </c>
    </row>
    <row r="22" spans="2:34" x14ac:dyDescent="0.2">
      <c r="B22" s="2">
        <v>499</v>
      </c>
      <c r="C22" s="2">
        <v>412.37358999999998</v>
      </c>
      <c r="E22" s="2">
        <v>639</v>
      </c>
      <c r="F22" s="2">
        <v>239.06097</v>
      </c>
      <c r="H22" s="2">
        <v>419</v>
      </c>
      <c r="I22" s="2">
        <v>610.30075999999997</v>
      </c>
      <c r="K22" s="2">
        <v>419</v>
      </c>
      <c r="L22" s="2">
        <v>977.72572000000002</v>
      </c>
      <c r="P22" s="2">
        <v>499</v>
      </c>
      <c r="Q22" s="7">
        <v>40853.73558</v>
      </c>
      <c r="S22" s="2">
        <v>419</v>
      </c>
      <c r="T22" s="2">
        <v>7811.4328100000002</v>
      </c>
      <c r="V22" s="2">
        <v>639</v>
      </c>
      <c r="W22" s="2">
        <v>25723.690040000001</v>
      </c>
      <c r="Y22" s="2">
        <v>419</v>
      </c>
      <c r="Z22" s="2">
        <v>1053.04294</v>
      </c>
      <c r="AD22" s="2">
        <v>499</v>
      </c>
      <c r="AE22" s="2">
        <v>37495.911549999997</v>
      </c>
      <c r="AG22" s="2">
        <v>499</v>
      </c>
      <c r="AH22" s="2">
        <v>35958.844920000003</v>
      </c>
    </row>
    <row r="23" spans="2:34" x14ac:dyDescent="0.2">
      <c r="B23" s="2">
        <v>500</v>
      </c>
      <c r="C23" s="2">
        <v>393.85786999999999</v>
      </c>
      <c r="E23" s="2">
        <v>640</v>
      </c>
      <c r="F23" s="2">
        <v>236.93366</v>
      </c>
      <c r="H23" s="2">
        <v>420</v>
      </c>
      <c r="I23" s="2">
        <v>585.56276000000003</v>
      </c>
      <c r="K23" s="2">
        <v>420</v>
      </c>
      <c r="L23" s="2">
        <v>422.54617000000002</v>
      </c>
      <c r="P23" s="2">
        <v>500</v>
      </c>
      <c r="Q23" s="7">
        <v>46279.376850000001</v>
      </c>
      <c r="S23" s="2">
        <v>420</v>
      </c>
      <c r="T23" s="2">
        <v>8024.7043299999996</v>
      </c>
      <c r="V23" s="2">
        <v>640</v>
      </c>
      <c r="W23" s="2">
        <v>30481.09937</v>
      </c>
      <c r="Y23" s="2">
        <v>420</v>
      </c>
      <c r="Z23" s="2">
        <v>909.69086000000004</v>
      </c>
      <c r="AD23" s="2">
        <v>500</v>
      </c>
      <c r="AE23" s="2">
        <v>42449.251129999997</v>
      </c>
      <c r="AG23" s="2">
        <v>500</v>
      </c>
      <c r="AH23" s="2">
        <v>41177.845090000003</v>
      </c>
    </row>
    <row r="24" spans="2:34" x14ac:dyDescent="0.2">
      <c r="B24" s="2">
        <v>501</v>
      </c>
      <c r="C24" s="2">
        <v>365.67869999999999</v>
      </c>
      <c r="E24" s="2">
        <v>641</v>
      </c>
      <c r="F24" s="2">
        <v>-30.261800000000001</v>
      </c>
      <c r="H24" s="2">
        <v>421</v>
      </c>
      <c r="I24" s="2">
        <v>567.31595000000004</v>
      </c>
      <c r="K24" s="2">
        <v>421</v>
      </c>
      <c r="L24" s="2">
        <v>889.40718000000004</v>
      </c>
      <c r="P24" s="2">
        <v>501</v>
      </c>
      <c r="Q24" s="7">
        <v>52330.749369999998</v>
      </c>
      <c r="S24" s="2">
        <v>421</v>
      </c>
      <c r="T24" s="2">
        <v>8893.2717499999999</v>
      </c>
      <c r="V24" s="2">
        <v>641</v>
      </c>
      <c r="W24" s="2">
        <v>34511.735159999997</v>
      </c>
      <c r="Y24" s="2">
        <v>421</v>
      </c>
      <c r="Z24" s="2">
        <v>591.91395999999997</v>
      </c>
      <c r="AD24" s="2">
        <v>501</v>
      </c>
      <c r="AE24" s="2">
        <v>47357.803910000002</v>
      </c>
      <c r="AG24" s="2">
        <v>501</v>
      </c>
      <c r="AH24" s="2">
        <v>45950.76857</v>
      </c>
    </row>
    <row r="25" spans="2:34" x14ac:dyDescent="0.2">
      <c r="B25" s="2">
        <v>502</v>
      </c>
      <c r="C25" s="2">
        <v>377.12759999999997</v>
      </c>
      <c r="E25" s="2">
        <v>642</v>
      </c>
      <c r="F25" s="2">
        <v>190.42777000000001</v>
      </c>
      <c r="H25" s="2">
        <v>422</v>
      </c>
      <c r="I25" s="2">
        <v>574.39103999999998</v>
      </c>
      <c r="K25" s="2">
        <v>422</v>
      </c>
      <c r="L25" s="2">
        <v>434.68015000000003</v>
      </c>
      <c r="P25" s="2">
        <v>502</v>
      </c>
      <c r="Q25" s="7">
        <v>58236.446889999999</v>
      </c>
      <c r="S25" s="2">
        <v>422</v>
      </c>
      <c r="T25" s="2">
        <v>9659.7824400000009</v>
      </c>
      <c r="V25" s="2">
        <v>642</v>
      </c>
      <c r="W25" s="2">
        <v>38089.497300000003</v>
      </c>
      <c r="Y25" s="2">
        <v>422</v>
      </c>
      <c r="Z25" s="2">
        <v>940.92138999999997</v>
      </c>
      <c r="AD25" s="2">
        <v>502</v>
      </c>
      <c r="AE25" s="2">
        <v>53067.483489999999</v>
      </c>
      <c r="AG25" s="2">
        <v>502</v>
      </c>
      <c r="AH25" s="2">
        <v>51292.247600000002</v>
      </c>
    </row>
    <row r="26" spans="2:34" x14ac:dyDescent="0.2">
      <c r="B26" s="2">
        <v>503</v>
      </c>
      <c r="C26" s="2">
        <v>349.73687000000001</v>
      </c>
      <c r="E26" s="2">
        <v>643</v>
      </c>
      <c r="F26" s="2">
        <v>197.11661000000001</v>
      </c>
      <c r="H26" s="2">
        <v>423</v>
      </c>
      <c r="I26" s="2">
        <v>549.84307000000001</v>
      </c>
      <c r="K26" s="2">
        <v>423</v>
      </c>
      <c r="L26" s="2">
        <v>565.38355000000001</v>
      </c>
      <c r="P26" s="2">
        <v>503</v>
      </c>
      <c r="Q26" s="7">
        <v>64305.446150000003</v>
      </c>
      <c r="S26" s="2">
        <v>423</v>
      </c>
      <c r="T26" s="2">
        <v>10034.533799999999</v>
      </c>
      <c r="V26" s="2">
        <v>643</v>
      </c>
      <c r="W26" s="2">
        <v>43096.023650000003</v>
      </c>
      <c r="Y26" s="2">
        <v>423</v>
      </c>
      <c r="Z26" s="2">
        <v>752.43771000000004</v>
      </c>
      <c r="AD26" s="2">
        <v>503</v>
      </c>
      <c r="AE26" s="2">
        <v>58484.203710000002</v>
      </c>
      <c r="AG26" s="2">
        <v>503</v>
      </c>
      <c r="AH26" s="2">
        <v>56766.498970000001</v>
      </c>
    </row>
    <row r="27" spans="2:34" x14ac:dyDescent="0.2">
      <c r="B27" s="2">
        <v>504</v>
      </c>
      <c r="C27" s="2">
        <v>364.20058</v>
      </c>
      <c r="E27" s="2">
        <v>644</v>
      </c>
      <c r="F27" s="2">
        <v>256.77519999999998</v>
      </c>
      <c r="H27" s="2">
        <v>424</v>
      </c>
      <c r="I27" s="2">
        <v>554.32443999999998</v>
      </c>
      <c r="K27" s="2">
        <v>424</v>
      </c>
      <c r="L27" s="2">
        <v>816.80023000000006</v>
      </c>
      <c r="P27" s="2">
        <v>504</v>
      </c>
      <c r="Q27" s="7">
        <v>70985.170889999994</v>
      </c>
      <c r="S27" s="2">
        <v>424</v>
      </c>
      <c r="T27" s="2">
        <v>10725.373460000001</v>
      </c>
      <c r="V27" s="2">
        <v>644</v>
      </c>
      <c r="W27" s="2">
        <v>48441.449690000001</v>
      </c>
      <c r="Y27" s="2">
        <v>424</v>
      </c>
      <c r="Z27" s="2">
        <v>821.48734000000002</v>
      </c>
      <c r="AD27" s="2">
        <v>504</v>
      </c>
      <c r="AE27" s="2">
        <v>63668.024810000003</v>
      </c>
      <c r="AG27" s="2">
        <v>504</v>
      </c>
      <c r="AH27" s="2">
        <v>62211.250319999999</v>
      </c>
    </row>
    <row r="28" spans="2:34" x14ac:dyDescent="0.2">
      <c r="B28" s="2">
        <v>505</v>
      </c>
      <c r="C28" s="2">
        <v>338.71861999999999</v>
      </c>
      <c r="E28" s="2">
        <v>645</v>
      </c>
      <c r="F28" s="2">
        <v>118.71404</v>
      </c>
      <c r="H28" s="2">
        <v>425</v>
      </c>
      <c r="I28" s="2">
        <v>542.56795</v>
      </c>
      <c r="K28" s="2">
        <v>425</v>
      </c>
      <c r="L28" s="2">
        <v>786.30457999999999</v>
      </c>
      <c r="P28" s="2">
        <v>505</v>
      </c>
      <c r="Q28" s="7">
        <v>77427.871870000003</v>
      </c>
      <c r="S28" s="2">
        <v>425</v>
      </c>
      <c r="T28" s="2">
        <v>11731.60435</v>
      </c>
      <c r="V28" s="2">
        <v>645</v>
      </c>
      <c r="W28" s="2">
        <v>53842.634910000001</v>
      </c>
      <c r="Y28" s="2">
        <v>425</v>
      </c>
      <c r="Z28" s="2">
        <v>739.09371999999996</v>
      </c>
      <c r="AD28" s="2">
        <v>505</v>
      </c>
      <c r="AE28" s="2">
        <v>69957.439629999993</v>
      </c>
      <c r="AG28" s="2">
        <v>505</v>
      </c>
      <c r="AH28" s="2">
        <v>67617.553169999999</v>
      </c>
    </row>
    <row r="29" spans="2:34" x14ac:dyDescent="0.2">
      <c r="B29" s="2">
        <v>506</v>
      </c>
      <c r="C29" s="2">
        <v>346.34778</v>
      </c>
      <c r="E29" s="2">
        <v>646</v>
      </c>
      <c r="F29" s="2">
        <v>124.96726</v>
      </c>
      <c r="H29" s="2">
        <v>426</v>
      </c>
      <c r="I29" s="2">
        <v>559.47505000000001</v>
      </c>
      <c r="K29" s="2">
        <v>426</v>
      </c>
      <c r="L29" s="2">
        <v>674.03746000000001</v>
      </c>
      <c r="P29" s="2">
        <v>506</v>
      </c>
      <c r="Q29" s="7">
        <v>83422.211989999996</v>
      </c>
      <c r="S29" s="2">
        <v>426</v>
      </c>
      <c r="T29" s="2">
        <v>12250.7719</v>
      </c>
      <c r="V29" s="2">
        <v>646</v>
      </c>
      <c r="W29" s="2">
        <v>59538.810469999997</v>
      </c>
      <c r="Y29" s="2">
        <v>426</v>
      </c>
      <c r="Z29" s="2">
        <v>665.50651000000005</v>
      </c>
      <c r="AD29" s="2">
        <v>506</v>
      </c>
      <c r="AE29" s="2">
        <v>75690.712969999993</v>
      </c>
      <c r="AG29" s="2">
        <v>506</v>
      </c>
      <c r="AH29" s="2">
        <v>73135.093519999995</v>
      </c>
    </row>
    <row r="30" spans="2:34" x14ac:dyDescent="0.2">
      <c r="B30" s="2">
        <v>507</v>
      </c>
      <c r="C30" s="2">
        <v>368.38663000000003</v>
      </c>
      <c r="E30" s="2">
        <v>647</v>
      </c>
      <c r="F30" s="2">
        <v>121.21579</v>
      </c>
      <c r="H30" s="2">
        <v>427</v>
      </c>
      <c r="I30" s="2">
        <v>507.30970000000002</v>
      </c>
      <c r="K30" s="2">
        <v>427</v>
      </c>
      <c r="L30" s="2">
        <v>568.24512000000004</v>
      </c>
      <c r="P30" s="2">
        <v>507</v>
      </c>
      <c r="Q30" s="7">
        <v>88808.691699999996</v>
      </c>
      <c r="S30" s="2">
        <v>427</v>
      </c>
      <c r="T30" s="2">
        <v>13072.86795</v>
      </c>
      <c r="V30" s="2">
        <v>647</v>
      </c>
      <c r="W30" s="2">
        <v>63828.908219999998</v>
      </c>
      <c r="Y30" s="2">
        <v>427</v>
      </c>
      <c r="Z30" s="2">
        <v>643.66403000000003</v>
      </c>
      <c r="AD30" s="2">
        <v>507</v>
      </c>
      <c r="AE30" s="2">
        <v>80548.271649999995</v>
      </c>
      <c r="AG30" s="2">
        <v>507</v>
      </c>
      <c r="AH30" s="2">
        <v>78077.948709999997</v>
      </c>
    </row>
    <row r="31" spans="2:34" x14ac:dyDescent="0.2">
      <c r="B31" s="2">
        <v>508</v>
      </c>
      <c r="C31" s="2">
        <v>350.35743000000002</v>
      </c>
      <c r="E31" s="2">
        <v>648</v>
      </c>
      <c r="F31" s="2">
        <v>172.45574999999999</v>
      </c>
      <c r="H31" s="2">
        <v>428</v>
      </c>
      <c r="I31" s="2">
        <v>524.37720999999999</v>
      </c>
      <c r="K31" s="2">
        <v>428</v>
      </c>
      <c r="L31" s="2">
        <v>650.96261000000004</v>
      </c>
      <c r="P31" s="2">
        <v>508</v>
      </c>
      <c r="Q31" s="7">
        <v>95209.686619999993</v>
      </c>
      <c r="S31" s="2">
        <v>428</v>
      </c>
      <c r="T31" s="2">
        <v>13977.47694</v>
      </c>
      <c r="V31" s="2">
        <v>648</v>
      </c>
      <c r="W31" s="2">
        <v>69980.639760000005</v>
      </c>
      <c r="Y31" s="2">
        <v>428</v>
      </c>
      <c r="Z31" s="2">
        <v>569.64527999999996</v>
      </c>
      <c r="AD31" s="2">
        <v>508</v>
      </c>
      <c r="AE31" s="2">
        <v>84930.207509999993</v>
      </c>
      <c r="AG31" s="2">
        <v>508</v>
      </c>
      <c r="AH31" s="2">
        <v>82454.784499999994</v>
      </c>
    </row>
    <row r="32" spans="2:34" x14ac:dyDescent="0.2">
      <c r="B32" s="2">
        <v>509</v>
      </c>
      <c r="C32" s="2">
        <v>329.99734999999998</v>
      </c>
      <c r="E32" s="2">
        <v>649</v>
      </c>
      <c r="F32" s="2">
        <v>239.90286</v>
      </c>
      <c r="H32" s="2">
        <v>429</v>
      </c>
      <c r="I32" s="2">
        <v>612.80610000000001</v>
      </c>
      <c r="K32" s="2">
        <v>429</v>
      </c>
      <c r="L32" s="2">
        <v>529.57646999999997</v>
      </c>
      <c r="P32" s="2">
        <v>509</v>
      </c>
      <c r="Q32" s="7">
        <v>100373.29008999999</v>
      </c>
      <c r="S32" s="2">
        <v>429</v>
      </c>
      <c r="T32" s="2">
        <v>14738.222100000001</v>
      </c>
      <c r="V32" s="2">
        <v>649</v>
      </c>
      <c r="W32" s="2">
        <v>77962.886629999994</v>
      </c>
      <c r="Y32" s="2">
        <v>429</v>
      </c>
      <c r="Z32" s="2">
        <v>824.71999000000005</v>
      </c>
      <c r="AD32" s="2">
        <v>509</v>
      </c>
      <c r="AE32" s="2">
        <v>89006.712400000004</v>
      </c>
      <c r="AG32" s="2">
        <v>509</v>
      </c>
      <c r="AH32" s="2">
        <v>86762.315749999994</v>
      </c>
    </row>
    <row r="33" spans="2:34" x14ac:dyDescent="0.2">
      <c r="B33" s="2">
        <v>510</v>
      </c>
      <c r="C33" s="2">
        <v>341.14945</v>
      </c>
      <c r="E33" s="2">
        <v>650</v>
      </c>
      <c r="F33" s="2">
        <v>130.04848000000001</v>
      </c>
      <c r="H33" s="2">
        <v>430</v>
      </c>
      <c r="I33" s="2">
        <v>502.71442000000002</v>
      </c>
      <c r="K33" s="2">
        <v>430</v>
      </c>
      <c r="L33" s="2">
        <v>659.04843000000005</v>
      </c>
      <c r="P33" s="2">
        <v>510</v>
      </c>
      <c r="Q33" s="7">
        <v>105347.58822000001</v>
      </c>
      <c r="S33" s="2">
        <v>430</v>
      </c>
      <c r="T33" s="2">
        <v>15500.820949999999</v>
      </c>
      <c r="V33" s="2">
        <v>650</v>
      </c>
      <c r="W33" s="2">
        <v>84143.561400000006</v>
      </c>
      <c r="Y33" s="2">
        <v>430</v>
      </c>
      <c r="Z33" s="2">
        <v>780.38975000000005</v>
      </c>
      <c r="AD33" s="2">
        <v>510</v>
      </c>
      <c r="AE33" s="2">
        <v>93302.798890000005</v>
      </c>
      <c r="AG33" s="2">
        <v>510</v>
      </c>
      <c r="AH33" s="2">
        <v>90007.414569999994</v>
      </c>
    </row>
    <row r="34" spans="2:34" x14ac:dyDescent="0.2">
      <c r="B34" s="2">
        <v>511</v>
      </c>
      <c r="C34" s="2">
        <v>344.20301999999998</v>
      </c>
      <c r="E34" s="2">
        <v>651</v>
      </c>
      <c r="F34" s="2">
        <v>-12.892910000000001</v>
      </c>
      <c r="H34" s="2">
        <v>431</v>
      </c>
      <c r="I34" s="2">
        <v>532.47315000000003</v>
      </c>
      <c r="K34" s="2">
        <v>431</v>
      </c>
      <c r="L34" s="2">
        <v>734.60986000000003</v>
      </c>
      <c r="P34" s="2">
        <v>511</v>
      </c>
      <c r="Q34" s="7">
        <v>109405.80693000001</v>
      </c>
      <c r="S34" s="2">
        <v>431</v>
      </c>
      <c r="T34" s="2">
        <v>16812.809219999999</v>
      </c>
      <c r="V34" s="2">
        <v>651</v>
      </c>
      <c r="W34" s="2">
        <v>90550.474650000004</v>
      </c>
      <c r="Y34" s="2">
        <v>431</v>
      </c>
      <c r="Z34" s="2">
        <v>741.35245999999995</v>
      </c>
      <c r="AD34" s="2">
        <v>511</v>
      </c>
      <c r="AE34" s="2">
        <v>96300.492110000007</v>
      </c>
      <c r="AG34" s="2">
        <v>511</v>
      </c>
      <c r="AH34" s="2">
        <v>93047.225640000004</v>
      </c>
    </row>
    <row r="35" spans="2:34" x14ac:dyDescent="0.2">
      <c r="B35" s="2">
        <v>512</v>
      </c>
      <c r="C35" s="2">
        <v>343.10681</v>
      </c>
      <c r="E35" s="2">
        <v>652</v>
      </c>
      <c r="F35" s="2">
        <v>137.97141999999999</v>
      </c>
      <c r="H35" s="2">
        <v>432</v>
      </c>
      <c r="I35" s="2">
        <v>516.66731000000004</v>
      </c>
      <c r="K35" s="2">
        <v>432</v>
      </c>
      <c r="L35" s="2">
        <v>779.40075000000002</v>
      </c>
      <c r="P35" s="2">
        <v>512</v>
      </c>
      <c r="Q35" s="7">
        <v>112866.54429999999</v>
      </c>
      <c r="S35" s="2">
        <v>432</v>
      </c>
      <c r="T35" s="2">
        <v>17715.786629999999</v>
      </c>
      <c r="V35" s="2">
        <v>652</v>
      </c>
      <c r="W35" s="2">
        <v>97192.035189999995</v>
      </c>
      <c r="Y35" s="2">
        <v>432</v>
      </c>
      <c r="Z35" s="2">
        <v>776.23879999999997</v>
      </c>
      <c r="AD35" s="2">
        <v>512</v>
      </c>
      <c r="AE35" s="2">
        <v>98925.645730000004</v>
      </c>
      <c r="AG35" s="2">
        <v>512</v>
      </c>
      <c r="AH35" s="2">
        <v>96275.720109999995</v>
      </c>
    </row>
    <row r="36" spans="2:34" x14ac:dyDescent="0.2">
      <c r="B36" s="2">
        <v>513</v>
      </c>
      <c r="C36" s="2">
        <v>347.49470000000002</v>
      </c>
      <c r="E36" s="2">
        <v>653</v>
      </c>
      <c r="F36" s="2">
        <v>92.241050000000001</v>
      </c>
      <c r="H36" s="2">
        <v>433</v>
      </c>
      <c r="I36" s="2">
        <v>469.35512999999997</v>
      </c>
      <c r="K36" s="2">
        <v>433</v>
      </c>
      <c r="L36" s="2">
        <v>482.01364999999998</v>
      </c>
      <c r="P36" s="2">
        <v>513</v>
      </c>
      <c r="Q36" s="7">
        <v>115228.10830000001</v>
      </c>
      <c r="S36" s="2">
        <v>433</v>
      </c>
      <c r="T36" s="2">
        <v>18694.78384</v>
      </c>
      <c r="V36" s="2">
        <v>653</v>
      </c>
      <c r="W36" s="2">
        <v>103235.60754</v>
      </c>
      <c r="Y36" s="2">
        <v>433</v>
      </c>
      <c r="Z36" s="2">
        <v>797.32309999999995</v>
      </c>
      <c r="AD36" s="2">
        <v>513</v>
      </c>
      <c r="AE36" s="2">
        <v>100845.26188000001</v>
      </c>
      <c r="AG36" s="2">
        <v>513</v>
      </c>
      <c r="AH36" s="2">
        <v>97592.904089999996</v>
      </c>
    </row>
    <row r="37" spans="2:34" x14ac:dyDescent="0.2">
      <c r="B37" s="2">
        <v>514</v>
      </c>
      <c r="C37" s="2">
        <v>378.65782999999999</v>
      </c>
      <c r="E37" s="2">
        <v>654</v>
      </c>
      <c r="F37" s="2">
        <v>135.61995999999999</v>
      </c>
      <c r="H37" s="2">
        <v>434</v>
      </c>
      <c r="I37" s="2">
        <v>494.44900999999999</v>
      </c>
      <c r="K37" s="2">
        <v>434</v>
      </c>
      <c r="L37" s="2">
        <v>831.23298999999997</v>
      </c>
      <c r="P37" s="2">
        <v>514</v>
      </c>
      <c r="Q37" s="7">
        <v>117499.29429000001</v>
      </c>
      <c r="S37" s="2">
        <v>434</v>
      </c>
      <c r="T37" s="2">
        <v>19686.049579999999</v>
      </c>
      <c r="V37" s="2">
        <v>654</v>
      </c>
      <c r="W37" s="2">
        <v>109237.55495000001</v>
      </c>
      <c r="Y37" s="2">
        <v>434</v>
      </c>
      <c r="Z37" s="2">
        <v>776.95231999999999</v>
      </c>
      <c r="AD37" s="2">
        <v>514</v>
      </c>
      <c r="AE37" s="2">
        <v>102562.13355</v>
      </c>
      <c r="AG37" s="2">
        <v>514</v>
      </c>
      <c r="AH37" s="2">
        <v>98683.822740000003</v>
      </c>
    </row>
    <row r="38" spans="2:34" x14ac:dyDescent="0.2">
      <c r="B38" s="2">
        <v>515</v>
      </c>
      <c r="C38" s="2">
        <v>396.85626999999999</v>
      </c>
      <c r="E38" s="2">
        <v>655</v>
      </c>
      <c r="F38" s="2">
        <v>163.98817</v>
      </c>
      <c r="H38" s="2">
        <v>435</v>
      </c>
      <c r="I38" s="2">
        <v>559.19577000000004</v>
      </c>
      <c r="K38" s="2">
        <v>435</v>
      </c>
      <c r="L38" s="2">
        <v>605.87702000000002</v>
      </c>
      <c r="P38" s="2">
        <v>515</v>
      </c>
      <c r="Q38" s="7">
        <v>119561.24404000001</v>
      </c>
      <c r="S38" s="2">
        <v>435</v>
      </c>
      <c r="T38" s="2">
        <v>20729.325509999999</v>
      </c>
      <c r="V38" s="2">
        <v>655</v>
      </c>
      <c r="W38" s="2">
        <v>113137.66329</v>
      </c>
      <c r="Y38" s="2">
        <v>435</v>
      </c>
      <c r="Z38" s="2">
        <v>780.27616</v>
      </c>
      <c r="AD38" s="2">
        <v>515</v>
      </c>
      <c r="AE38" s="2">
        <v>103024.68786999999</v>
      </c>
      <c r="AG38" s="2">
        <v>515</v>
      </c>
      <c r="AH38" s="2">
        <v>100087.31922999999</v>
      </c>
    </row>
    <row r="39" spans="2:34" x14ac:dyDescent="0.2">
      <c r="B39" s="2">
        <v>516</v>
      </c>
      <c r="C39" s="2">
        <v>375.96010999999999</v>
      </c>
      <c r="E39" s="2">
        <v>656</v>
      </c>
      <c r="F39" s="2">
        <v>35.344540000000002</v>
      </c>
      <c r="H39" s="2">
        <v>436</v>
      </c>
      <c r="I39" s="2">
        <v>563.85098000000005</v>
      </c>
      <c r="K39" s="2">
        <v>436</v>
      </c>
      <c r="L39" s="2">
        <v>472.12085000000002</v>
      </c>
      <c r="P39" s="2">
        <v>516</v>
      </c>
      <c r="Q39" s="7">
        <v>119912.22158</v>
      </c>
      <c r="S39" s="2">
        <v>436</v>
      </c>
      <c r="T39" s="2">
        <v>21928.052879999999</v>
      </c>
      <c r="V39" s="2">
        <v>656</v>
      </c>
      <c r="W39" s="2">
        <v>119862.50872</v>
      </c>
      <c r="Y39" s="2">
        <v>436</v>
      </c>
      <c r="Z39" s="2">
        <v>697.55034000000001</v>
      </c>
      <c r="AD39" s="2">
        <v>516</v>
      </c>
      <c r="AE39" s="2">
        <v>103422.84285</v>
      </c>
      <c r="AG39" s="2">
        <v>516</v>
      </c>
      <c r="AH39" s="2">
        <v>99683.046600000001</v>
      </c>
    </row>
    <row r="40" spans="2:34" x14ac:dyDescent="0.2">
      <c r="B40" s="2">
        <v>517</v>
      </c>
      <c r="C40" s="2">
        <v>357.53570999999999</v>
      </c>
      <c r="E40" s="2">
        <v>657</v>
      </c>
      <c r="F40" s="2">
        <v>156.67186000000001</v>
      </c>
      <c r="H40" s="2">
        <v>437</v>
      </c>
      <c r="I40" s="2">
        <v>634.73875999999996</v>
      </c>
      <c r="K40" s="2">
        <v>437</v>
      </c>
      <c r="L40" s="2">
        <v>552.77025000000003</v>
      </c>
      <c r="P40" s="2">
        <v>517</v>
      </c>
      <c r="Q40" s="7">
        <v>120365.67701</v>
      </c>
      <c r="S40" s="2">
        <v>437</v>
      </c>
      <c r="T40" s="2">
        <v>23765.02505</v>
      </c>
      <c r="V40" s="2">
        <v>657</v>
      </c>
      <c r="W40" s="2">
        <v>123622.67835</v>
      </c>
      <c r="Y40" s="2">
        <v>437</v>
      </c>
      <c r="Z40" s="2">
        <v>518.41368</v>
      </c>
      <c r="AD40" s="2">
        <v>517</v>
      </c>
      <c r="AE40" s="2">
        <v>102737.89231</v>
      </c>
      <c r="AG40" s="2">
        <v>517</v>
      </c>
      <c r="AH40" s="2">
        <v>99555.948839999997</v>
      </c>
    </row>
    <row r="41" spans="2:34" x14ac:dyDescent="0.2">
      <c r="B41" s="2">
        <v>518</v>
      </c>
      <c r="C41" s="2">
        <v>371.48813000000001</v>
      </c>
      <c r="E41" s="2">
        <v>658</v>
      </c>
      <c r="F41" s="2">
        <v>102.89696000000001</v>
      </c>
      <c r="H41" s="2">
        <v>438</v>
      </c>
      <c r="I41" s="2">
        <v>739.93142999999998</v>
      </c>
      <c r="K41" s="2">
        <v>438</v>
      </c>
      <c r="L41" s="2">
        <v>596.12513999999999</v>
      </c>
      <c r="P41" s="2">
        <v>518</v>
      </c>
      <c r="Q41" s="7">
        <v>119549.66310000001</v>
      </c>
      <c r="S41" s="2">
        <v>438</v>
      </c>
      <c r="T41" s="2">
        <v>25180.23949</v>
      </c>
      <c r="V41" s="2">
        <v>658</v>
      </c>
      <c r="W41" s="2">
        <v>126766.65819</v>
      </c>
      <c r="Y41" s="2">
        <v>438</v>
      </c>
      <c r="Z41" s="2">
        <v>638.34783000000004</v>
      </c>
      <c r="AD41" s="2">
        <v>518</v>
      </c>
      <c r="AE41" s="2">
        <v>102234.07829</v>
      </c>
      <c r="AG41" s="2">
        <v>518</v>
      </c>
      <c r="AH41" s="2">
        <v>98685.456980000003</v>
      </c>
    </row>
    <row r="42" spans="2:34" x14ac:dyDescent="0.2">
      <c r="B42" s="2">
        <v>519</v>
      </c>
      <c r="C42" s="2">
        <v>366.1499</v>
      </c>
      <c r="E42" s="2">
        <v>659</v>
      </c>
      <c r="F42" s="2">
        <v>379.65409</v>
      </c>
      <c r="H42" s="2">
        <v>439</v>
      </c>
      <c r="I42" s="2">
        <v>850.62675999999999</v>
      </c>
      <c r="K42" s="2">
        <v>439</v>
      </c>
      <c r="L42" s="2">
        <v>520.89058</v>
      </c>
      <c r="P42" s="2">
        <v>519</v>
      </c>
      <c r="Q42" s="7">
        <v>118608.81219</v>
      </c>
      <c r="S42" s="2">
        <v>439</v>
      </c>
      <c r="T42" s="2">
        <v>26323.692770000001</v>
      </c>
      <c r="V42" s="2">
        <v>659</v>
      </c>
      <c r="W42" s="2">
        <v>130299.87458</v>
      </c>
      <c r="Y42" s="2">
        <v>439</v>
      </c>
      <c r="Z42" s="2">
        <v>664.05935999999997</v>
      </c>
      <c r="AD42" s="2">
        <v>519</v>
      </c>
      <c r="AE42" s="2">
        <v>100671.45196999999</v>
      </c>
      <c r="AG42" s="2">
        <v>519</v>
      </c>
      <c r="AH42" s="2">
        <v>97377.716220000002</v>
      </c>
    </row>
    <row r="43" spans="2:34" x14ac:dyDescent="0.2">
      <c r="B43" s="2">
        <v>520</v>
      </c>
      <c r="C43" s="2">
        <v>294.89109999999999</v>
      </c>
      <c r="E43" s="2">
        <v>660</v>
      </c>
      <c r="F43" s="2">
        <v>122.38597</v>
      </c>
      <c r="H43" s="2">
        <v>440</v>
      </c>
      <c r="I43" s="2">
        <v>822.40315999999996</v>
      </c>
      <c r="K43" s="2">
        <v>440</v>
      </c>
      <c r="L43" s="2">
        <v>502.95280000000002</v>
      </c>
      <c r="P43" s="2">
        <v>520</v>
      </c>
      <c r="Q43" s="7">
        <v>117856.69945</v>
      </c>
      <c r="S43" s="2">
        <v>440</v>
      </c>
      <c r="T43" s="2">
        <v>28402.517070000002</v>
      </c>
      <c r="V43" s="2">
        <v>660</v>
      </c>
      <c r="W43" s="2">
        <v>134810.32131</v>
      </c>
      <c r="Y43" s="2">
        <v>440</v>
      </c>
      <c r="Z43" s="2">
        <v>590.53043000000002</v>
      </c>
      <c r="AD43" s="2">
        <v>520</v>
      </c>
      <c r="AE43" s="2">
        <v>99599.906529999993</v>
      </c>
      <c r="AG43" s="2">
        <v>520</v>
      </c>
      <c r="AH43" s="2">
        <v>96159.178599999999</v>
      </c>
    </row>
    <row r="44" spans="2:34" x14ac:dyDescent="0.2">
      <c r="B44" s="2">
        <v>521</v>
      </c>
      <c r="C44" s="2">
        <v>322.33926000000002</v>
      </c>
      <c r="E44" s="2">
        <v>661</v>
      </c>
      <c r="F44" s="2">
        <v>100.99512</v>
      </c>
      <c r="H44" s="2">
        <v>441</v>
      </c>
      <c r="I44" s="2">
        <v>883.29971999999998</v>
      </c>
      <c r="K44" s="2">
        <v>441</v>
      </c>
      <c r="L44" s="2">
        <v>490.22138999999999</v>
      </c>
      <c r="P44" s="2">
        <v>521</v>
      </c>
      <c r="Q44" s="7">
        <v>115727.31226999999</v>
      </c>
      <c r="S44" s="2">
        <v>441</v>
      </c>
      <c r="T44" s="2">
        <v>30187.323840000001</v>
      </c>
      <c r="V44" s="2">
        <v>661</v>
      </c>
      <c r="W44" s="2">
        <v>134067.30596999999</v>
      </c>
      <c r="Y44" s="2">
        <v>441</v>
      </c>
      <c r="Z44" s="2">
        <v>667.08669999999995</v>
      </c>
      <c r="AD44" s="2">
        <v>521</v>
      </c>
      <c r="AE44" s="2">
        <v>96898.364950000003</v>
      </c>
      <c r="AG44" s="2">
        <v>521</v>
      </c>
      <c r="AH44" s="2">
        <v>94247.916970000006</v>
      </c>
    </row>
    <row r="45" spans="2:34" x14ac:dyDescent="0.2">
      <c r="B45" s="2">
        <v>522</v>
      </c>
      <c r="C45" s="2">
        <v>281.28048000000001</v>
      </c>
      <c r="E45" s="2">
        <v>662</v>
      </c>
      <c r="F45" s="2">
        <v>131.50621000000001</v>
      </c>
      <c r="H45" s="2">
        <v>442</v>
      </c>
      <c r="I45" s="2">
        <v>806.74261999999999</v>
      </c>
      <c r="K45" s="2">
        <v>442</v>
      </c>
      <c r="L45" s="2">
        <v>535.84902999999997</v>
      </c>
      <c r="P45" s="2">
        <v>522</v>
      </c>
      <c r="Q45" s="7">
        <v>113714.69607000001</v>
      </c>
      <c r="S45" s="2">
        <v>442</v>
      </c>
      <c r="T45" s="2">
        <v>32475.824280000001</v>
      </c>
      <c r="V45" s="2">
        <v>662</v>
      </c>
      <c r="W45" s="2">
        <v>136845.19438999999</v>
      </c>
      <c r="Y45" s="2">
        <v>442</v>
      </c>
      <c r="Z45" s="2">
        <v>559.35587999999996</v>
      </c>
      <c r="AD45" s="2">
        <v>522</v>
      </c>
      <c r="AE45" s="2">
        <v>94921.706900000005</v>
      </c>
      <c r="AG45" s="2">
        <v>522</v>
      </c>
      <c r="AH45" s="2">
        <v>92053.037970000005</v>
      </c>
    </row>
    <row r="46" spans="2:34" x14ac:dyDescent="0.2">
      <c r="B46" s="2">
        <v>523</v>
      </c>
      <c r="C46" s="2">
        <v>284.09361000000001</v>
      </c>
      <c r="E46" s="2">
        <v>663</v>
      </c>
      <c r="F46" s="2">
        <v>91.652749999999997</v>
      </c>
      <c r="H46" s="2">
        <v>443</v>
      </c>
      <c r="I46" s="2">
        <v>755.86704999999995</v>
      </c>
      <c r="K46" s="2">
        <v>443</v>
      </c>
      <c r="L46" s="2">
        <v>330.25058000000001</v>
      </c>
      <c r="P46" s="2">
        <v>523</v>
      </c>
      <c r="Q46" s="7">
        <v>111963.73834</v>
      </c>
      <c r="S46" s="2">
        <v>443</v>
      </c>
      <c r="T46" s="2">
        <v>34559.131430000001</v>
      </c>
      <c r="V46" s="2">
        <v>663</v>
      </c>
      <c r="W46" s="2">
        <v>135906.04366</v>
      </c>
      <c r="Y46" s="2">
        <v>443</v>
      </c>
      <c r="Z46" s="2">
        <v>866.47263999999996</v>
      </c>
      <c r="AD46" s="2">
        <v>523</v>
      </c>
      <c r="AE46" s="2">
        <v>92786.898570000005</v>
      </c>
      <c r="AG46" s="2">
        <v>523</v>
      </c>
      <c r="AH46" s="2">
        <v>89980.032949999993</v>
      </c>
    </row>
    <row r="47" spans="2:34" x14ac:dyDescent="0.2">
      <c r="B47" s="2">
        <v>524</v>
      </c>
      <c r="C47" s="2">
        <v>251.79411999999999</v>
      </c>
      <c r="E47" s="2">
        <v>664</v>
      </c>
      <c r="F47" s="2">
        <v>194.50692000000001</v>
      </c>
      <c r="H47" s="2">
        <v>444</v>
      </c>
      <c r="I47" s="2">
        <v>594.20302000000004</v>
      </c>
      <c r="K47" s="2">
        <v>444</v>
      </c>
      <c r="L47" s="2">
        <v>450.50274999999999</v>
      </c>
      <c r="P47" s="2">
        <v>524</v>
      </c>
      <c r="Q47" s="7">
        <v>109758.09106999999</v>
      </c>
      <c r="S47" s="2">
        <v>444</v>
      </c>
      <c r="T47" s="2">
        <v>35631.004090000002</v>
      </c>
      <c r="V47" s="2">
        <v>664</v>
      </c>
      <c r="W47" s="2">
        <v>135584.30150999999</v>
      </c>
      <c r="Y47" s="2">
        <v>444</v>
      </c>
      <c r="Z47" s="2">
        <v>951.54488000000003</v>
      </c>
      <c r="AD47" s="2">
        <v>524</v>
      </c>
      <c r="AE47" s="2">
        <v>90139.515400000004</v>
      </c>
      <c r="AG47" s="2">
        <v>524</v>
      </c>
      <c r="AH47" s="2">
        <v>87616.307310000004</v>
      </c>
    </row>
    <row r="48" spans="2:34" x14ac:dyDescent="0.2">
      <c r="B48" s="2">
        <v>525</v>
      </c>
      <c r="C48" s="2">
        <v>275.07555000000002</v>
      </c>
      <c r="E48" s="2">
        <v>665</v>
      </c>
      <c r="F48" s="2">
        <v>245.27698000000001</v>
      </c>
      <c r="H48" s="2">
        <v>445</v>
      </c>
      <c r="I48" s="2">
        <v>560.40814999999998</v>
      </c>
      <c r="K48" s="2">
        <v>445</v>
      </c>
      <c r="L48" s="2">
        <v>399.24743999999998</v>
      </c>
      <c r="P48" s="2">
        <v>525</v>
      </c>
      <c r="Q48" s="7">
        <v>106828.45985</v>
      </c>
      <c r="S48" s="2">
        <v>445</v>
      </c>
      <c r="T48" s="2">
        <v>39153.00978</v>
      </c>
      <c r="V48" s="2">
        <v>665</v>
      </c>
      <c r="W48" s="2">
        <v>134689.76053999999</v>
      </c>
      <c r="Y48" s="2">
        <v>445</v>
      </c>
      <c r="Z48" s="2">
        <v>697.02589</v>
      </c>
      <c r="AD48" s="2">
        <v>525</v>
      </c>
      <c r="AE48" s="2">
        <v>87640.984719999993</v>
      </c>
      <c r="AG48" s="2">
        <v>525</v>
      </c>
      <c r="AH48" s="2">
        <v>85605.839640000006</v>
      </c>
    </row>
    <row r="49" spans="2:34" x14ac:dyDescent="0.2">
      <c r="B49" s="2">
        <v>526</v>
      </c>
      <c r="C49" s="2">
        <v>268.57898999999998</v>
      </c>
      <c r="E49" s="2">
        <v>666</v>
      </c>
      <c r="F49" s="2">
        <v>131.98463000000001</v>
      </c>
      <c r="H49" s="2">
        <v>446</v>
      </c>
      <c r="I49" s="2">
        <v>654.16321000000005</v>
      </c>
      <c r="K49" s="2">
        <v>446</v>
      </c>
      <c r="L49" s="2">
        <v>444.59656999999999</v>
      </c>
      <c r="P49" s="2">
        <v>526</v>
      </c>
      <c r="Q49" s="7">
        <v>104939.39840000001</v>
      </c>
      <c r="S49" s="2">
        <v>446</v>
      </c>
      <c r="T49" s="2">
        <v>41346.819920000002</v>
      </c>
      <c r="V49" s="2">
        <v>666</v>
      </c>
      <c r="W49" s="2">
        <v>134540.36464000001</v>
      </c>
      <c r="Y49" s="2">
        <v>446</v>
      </c>
      <c r="Z49" s="2">
        <v>844.96487999999999</v>
      </c>
      <c r="AD49" s="2">
        <v>526</v>
      </c>
      <c r="AE49" s="2">
        <v>85773.691269999996</v>
      </c>
      <c r="AG49" s="2">
        <v>526</v>
      </c>
      <c r="AH49" s="2">
        <v>82682.61838</v>
      </c>
    </row>
    <row r="50" spans="2:34" x14ac:dyDescent="0.2">
      <c r="B50" s="2">
        <v>527</v>
      </c>
      <c r="C50" s="2">
        <v>278.24437999999998</v>
      </c>
      <c r="E50" s="2">
        <v>667</v>
      </c>
      <c r="F50" s="2">
        <v>-3.11389</v>
      </c>
      <c r="H50" s="2">
        <v>447</v>
      </c>
      <c r="I50" s="2">
        <v>559.74396000000002</v>
      </c>
      <c r="K50" s="2">
        <v>447</v>
      </c>
      <c r="L50" s="2">
        <v>625.04741000000001</v>
      </c>
      <c r="P50" s="2">
        <v>527</v>
      </c>
      <c r="Q50" s="7">
        <v>101559.75479000001</v>
      </c>
      <c r="S50" s="2">
        <v>447</v>
      </c>
      <c r="T50" s="2">
        <v>43833.206510000004</v>
      </c>
      <c r="V50" s="2">
        <v>667</v>
      </c>
      <c r="W50" s="2">
        <v>132079.41581000001</v>
      </c>
      <c r="Y50" s="2">
        <v>447</v>
      </c>
      <c r="Z50" s="2">
        <v>932.27494000000002</v>
      </c>
      <c r="AD50" s="2">
        <v>527</v>
      </c>
      <c r="AE50" s="2">
        <v>83105.303849999997</v>
      </c>
      <c r="AG50" s="2">
        <v>527</v>
      </c>
      <c r="AH50" s="2">
        <v>80436.495129999996</v>
      </c>
    </row>
    <row r="51" spans="2:34" x14ac:dyDescent="0.2">
      <c r="B51" s="2">
        <v>528</v>
      </c>
      <c r="C51" s="2">
        <v>261.00141000000002</v>
      </c>
      <c r="E51" s="2">
        <v>668</v>
      </c>
      <c r="F51" s="2">
        <v>110.42619000000001</v>
      </c>
      <c r="H51" s="2">
        <v>448</v>
      </c>
      <c r="I51" s="2">
        <v>447.19619999999998</v>
      </c>
      <c r="K51" s="2">
        <v>448</v>
      </c>
      <c r="L51" s="2">
        <v>471.56535000000002</v>
      </c>
      <c r="P51" s="2">
        <v>528</v>
      </c>
      <c r="Q51" s="7">
        <v>99051.694050000006</v>
      </c>
      <c r="S51" s="2">
        <v>448</v>
      </c>
      <c r="T51" s="2">
        <v>46997.228470000002</v>
      </c>
      <c r="V51" s="2">
        <v>668</v>
      </c>
      <c r="W51" s="2">
        <v>128084.60821000001</v>
      </c>
      <c r="Y51" s="2">
        <v>448</v>
      </c>
      <c r="Z51" s="2">
        <v>991.09450000000004</v>
      </c>
      <c r="AD51" s="2">
        <v>528</v>
      </c>
      <c r="AE51" s="2">
        <v>79791.493180000005</v>
      </c>
      <c r="AG51" s="2">
        <v>528</v>
      </c>
      <c r="AH51" s="2">
        <v>77649.697709999993</v>
      </c>
    </row>
    <row r="52" spans="2:34" x14ac:dyDescent="0.2">
      <c r="B52" s="2">
        <v>529</v>
      </c>
      <c r="C52" s="2">
        <v>284.87990000000002</v>
      </c>
      <c r="E52" s="2">
        <v>669</v>
      </c>
      <c r="F52" s="2">
        <v>271.06700000000001</v>
      </c>
      <c r="H52" s="2">
        <v>449</v>
      </c>
      <c r="I52" s="2">
        <v>431.56873000000002</v>
      </c>
      <c r="K52" s="2">
        <v>449</v>
      </c>
      <c r="L52" s="2">
        <v>305.61095</v>
      </c>
      <c r="P52" s="2">
        <v>529</v>
      </c>
      <c r="Q52" s="7">
        <v>95961.949470000007</v>
      </c>
      <c r="S52" s="2">
        <v>449</v>
      </c>
      <c r="T52" s="2">
        <v>49859.910900000003</v>
      </c>
      <c r="V52" s="2">
        <v>669</v>
      </c>
      <c r="W52" s="2">
        <v>125921.25571</v>
      </c>
      <c r="Y52" s="2">
        <v>449</v>
      </c>
      <c r="Z52" s="2">
        <v>680.79548</v>
      </c>
      <c r="AD52" s="2">
        <v>529</v>
      </c>
      <c r="AE52" s="2">
        <v>77378.418529999995</v>
      </c>
      <c r="AG52" s="2">
        <v>529</v>
      </c>
      <c r="AH52" s="2">
        <v>74613.768549999993</v>
      </c>
    </row>
    <row r="53" spans="2:34" x14ac:dyDescent="0.2">
      <c r="B53" s="2">
        <v>530</v>
      </c>
      <c r="C53" s="2">
        <v>283.98253</v>
      </c>
      <c r="E53" s="2">
        <v>670</v>
      </c>
      <c r="F53" s="2">
        <v>365.14237000000003</v>
      </c>
      <c r="H53" s="2">
        <v>450</v>
      </c>
      <c r="I53" s="2">
        <v>362.61653000000001</v>
      </c>
      <c r="K53" s="2">
        <v>450</v>
      </c>
      <c r="L53" s="2">
        <v>510.78908999999999</v>
      </c>
      <c r="P53" s="2">
        <v>530</v>
      </c>
      <c r="Q53" s="7">
        <v>93350.250450000007</v>
      </c>
      <c r="S53" s="2">
        <v>450</v>
      </c>
      <c r="T53" s="2">
        <v>52511.047160000002</v>
      </c>
      <c r="V53" s="2">
        <v>670</v>
      </c>
      <c r="W53" s="2">
        <v>121157.92045999999</v>
      </c>
      <c r="Y53" s="2">
        <v>450</v>
      </c>
      <c r="Z53" s="2">
        <v>580.54709000000003</v>
      </c>
      <c r="AD53" s="2">
        <v>530</v>
      </c>
      <c r="AE53" s="2">
        <v>74713.912899999996</v>
      </c>
      <c r="AG53" s="2">
        <v>530</v>
      </c>
      <c r="AH53" s="2">
        <v>72569.387900000002</v>
      </c>
    </row>
    <row r="54" spans="2:34" x14ac:dyDescent="0.2">
      <c r="B54" s="2">
        <v>531</v>
      </c>
      <c r="C54" s="2">
        <v>274.62655999999998</v>
      </c>
      <c r="E54" s="2">
        <v>671</v>
      </c>
      <c r="F54" s="2">
        <v>187.03847999999999</v>
      </c>
      <c r="H54" s="2">
        <v>451</v>
      </c>
      <c r="I54" s="2">
        <v>322.80894999999998</v>
      </c>
      <c r="K54" s="2">
        <v>451</v>
      </c>
      <c r="L54" s="2">
        <v>463.30989</v>
      </c>
      <c r="P54" s="2">
        <v>531</v>
      </c>
      <c r="Q54" s="7">
        <v>89601.043699999995</v>
      </c>
      <c r="S54" s="2">
        <v>451</v>
      </c>
      <c r="T54" s="2">
        <v>55460.35901</v>
      </c>
      <c r="V54" s="2">
        <v>671</v>
      </c>
      <c r="W54" s="2">
        <v>117974.59805</v>
      </c>
      <c r="Y54" s="2">
        <v>451</v>
      </c>
      <c r="Z54" s="2">
        <v>976.11869999999999</v>
      </c>
      <c r="AD54" s="2">
        <v>531</v>
      </c>
      <c r="AE54" s="2">
        <v>72233.978019999995</v>
      </c>
      <c r="AG54" s="2">
        <v>531</v>
      </c>
      <c r="AH54" s="2">
        <v>69999.701119999998</v>
      </c>
    </row>
    <row r="55" spans="2:34" x14ac:dyDescent="0.2">
      <c r="B55" s="2">
        <v>532</v>
      </c>
      <c r="C55" s="2">
        <v>263.63526999999999</v>
      </c>
      <c r="E55" s="2">
        <v>672</v>
      </c>
      <c r="F55" s="2">
        <v>222.91003000000001</v>
      </c>
      <c r="H55" s="2">
        <v>452</v>
      </c>
      <c r="I55" s="2">
        <v>350.28026</v>
      </c>
      <c r="K55" s="2">
        <v>452</v>
      </c>
      <c r="L55" s="2">
        <v>503.83904000000001</v>
      </c>
      <c r="P55" s="2">
        <v>532</v>
      </c>
      <c r="Q55" s="7">
        <v>86593.973379999996</v>
      </c>
      <c r="S55" s="2">
        <v>452</v>
      </c>
      <c r="T55" s="2">
        <v>59069.324419999997</v>
      </c>
      <c r="V55" s="2">
        <v>672</v>
      </c>
      <c r="W55" s="2">
        <v>113319.7058</v>
      </c>
      <c r="Y55" s="2">
        <v>452</v>
      </c>
      <c r="Z55" s="2">
        <v>826.06267000000003</v>
      </c>
      <c r="AD55" s="2">
        <v>532</v>
      </c>
      <c r="AE55" s="2">
        <v>69210.480750000002</v>
      </c>
      <c r="AG55" s="2">
        <v>532</v>
      </c>
      <c r="AH55" s="2">
        <v>67167.758000000002</v>
      </c>
    </row>
    <row r="56" spans="2:34" x14ac:dyDescent="0.2">
      <c r="B56" s="2">
        <v>533</v>
      </c>
      <c r="C56" s="2">
        <v>265.54228999999998</v>
      </c>
      <c r="E56" s="2">
        <v>673</v>
      </c>
      <c r="F56" s="2">
        <v>185.60863000000001</v>
      </c>
      <c r="H56" s="2">
        <v>453</v>
      </c>
      <c r="I56" s="2">
        <v>296.89174000000003</v>
      </c>
      <c r="K56" s="2">
        <v>453</v>
      </c>
      <c r="L56" s="2">
        <v>376.95044000000001</v>
      </c>
      <c r="P56" s="2">
        <v>533</v>
      </c>
      <c r="Q56" s="7">
        <v>83615.686459999997</v>
      </c>
      <c r="S56" s="2">
        <v>453</v>
      </c>
      <c r="T56" s="2">
        <v>61964.080260000002</v>
      </c>
      <c r="V56" s="2">
        <v>673</v>
      </c>
      <c r="W56" s="2">
        <v>107880.79167999999</v>
      </c>
      <c r="Y56" s="2">
        <v>453</v>
      </c>
      <c r="Z56" s="2">
        <v>1153.79673</v>
      </c>
      <c r="AD56" s="2">
        <v>533</v>
      </c>
      <c r="AE56" s="2">
        <v>66830.090389999998</v>
      </c>
      <c r="AG56" s="2">
        <v>533</v>
      </c>
      <c r="AH56" s="2">
        <v>64868.505169999997</v>
      </c>
    </row>
    <row r="57" spans="2:34" x14ac:dyDescent="0.2">
      <c r="B57" s="2">
        <v>534</v>
      </c>
      <c r="C57" s="2">
        <v>264.32387999999997</v>
      </c>
      <c r="E57" s="2">
        <v>674</v>
      </c>
      <c r="F57" s="2">
        <v>215.59807000000001</v>
      </c>
      <c r="H57" s="2">
        <v>454</v>
      </c>
      <c r="I57" s="2">
        <v>320.90656999999999</v>
      </c>
      <c r="K57" s="2">
        <v>454</v>
      </c>
      <c r="L57" s="2">
        <v>376.85001999999997</v>
      </c>
      <c r="P57" s="2">
        <v>534</v>
      </c>
      <c r="Q57" s="7">
        <v>80398.361839999998</v>
      </c>
      <c r="S57" s="2">
        <v>454</v>
      </c>
      <c r="T57" s="2">
        <v>65889.832280000002</v>
      </c>
      <c r="V57" s="2">
        <v>674</v>
      </c>
      <c r="W57" s="2">
        <v>103626.69584</v>
      </c>
      <c r="Y57" s="2">
        <v>454</v>
      </c>
      <c r="Z57" s="2">
        <v>1003.04319</v>
      </c>
      <c r="AD57" s="2">
        <v>534</v>
      </c>
      <c r="AE57" s="2">
        <v>64410.880290000001</v>
      </c>
      <c r="AG57" s="2">
        <v>534</v>
      </c>
      <c r="AH57" s="2">
        <v>62314.782899999998</v>
      </c>
    </row>
    <row r="58" spans="2:34" x14ac:dyDescent="0.2">
      <c r="B58" s="2">
        <v>535</v>
      </c>
      <c r="C58" s="2">
        <v>236.61053999999999</v>
      </c>
      <c r="E58" s="2">
        <v>675</v>
      </c>
      <c r="F58" s="2">
        <v>197.54122000000001</v>
      </c>
      <c r="H58" s="2">
        <v>455</v>
      </c>
      <c r="I58" s="2">
        <v>379.28899999999999</v>
      </c>
      <c r="K58" s="2">
        <v>455</v>
      </c>
      <c r="L58" s="2">
        <v>402.03480000000002</v>
      </c>
      <c r="P58" s="2">
        <v>535</v>
      </c>
      <c r="Q58" s="7">
        <v>77481.195609999995</v>
      </c>
      <c r="S58" s="2">
        <v>455</v>
      </c>
      <c r="T58" s="2">
        <v>68549.902359999993</v>
      </c>
      <c r="V58" s="2">
        <v>675</v>
      </c>
      <c r="W58" s="2">
        <v>100061.2985</v>
      </c>
      <c r="Y58" s="2">
        <v>455</v>
      </c>
      <c r="Z58" s="2">
        <v>943.88265000000001</v>
      </c>
      <c r="AD58" s="2">
        <v>535</v>
      </c>
      <c r="AE58" s="2">
        <v>61906.660450000003</v>
      </c>
      <c r="AG58" s="2">
        <v>535</v>
      </c>
      <c r="AH58" s="2">
        <v>59955.400659999999</v>
      </c>
    </row>
    <row r="59" spans="2:34" x14ac:dyDescent="0.2">
      <c r="B59" s="2">
        <v>536</v>
      </c>
      <c r="C59" s="2">
        <v>276.35633999999999</v>
      </c>
      <c r="E59" s="2">
        <v>676</v>
      </c>
      <c r="F59" s="2">
        <v>17.59928</v>
      </c>
      <c r="H59" s="2">
        <v>456</v>
      </c>
      <c r="I59" s="2">
        <v>383.19493</v>
      </c>
      <c r="K59" s="2">
        <v>456</v>
      </c>
      <c r="L59" s="2">
        <v>503.80378999999999</v>
      </c>
      <c r="P59" s="2">
        <v>536</v>
      </c>
      <c r="Q59" s="7">
        <v>75716.114849999998</v>
      </c>
      <c r="S59" s="2">
        <v>456</v>
      </c>
      <c r="T59" s="2">
        <v>72185.239220000003</v>
      </c>
      <c r="V59" s="2">
        <v>676</v>
      </c>
      <c r="W59" s="2">
        <v>93787.862699999998</v>
      </c>
      <c r="Y59" s="2">
        <v>456</v>
      </c>
      <c r="Z59" s="2">
        <v>1022.69759</v>
      </c>
      <c r="AD59" s="2">
        <v>536</v>
      </c>
      <c r="AE59" s="2">
        <v>59667.902029999997</v>
      </c>
      <c r="AG59" s="2">
        <v>536</v>
      </c>
      <c r="AH59" s="2">
        <v>57453.881350000003</v>
      </c>
    </row>
    <row r="60" spans="2:34" x14ac:dyDescent="0.2">
      <c r="B60" s="2">
        <v>537</v>
      </c>
      <c r="C60" s="2">
        <v>264.46060999999997</v>
      </c>
      <c r="E60" s="2">
        <v>677</v>
      </c>
      <c r="F60" s="2">
        <v>160.88199</v>
      </c>
      <c r="H60" s="2">
        <v>457</v>
      </c>
      <c r="I60" s="2">
        <v>360.24011000000002</v>
      </c>
      <c r="K60" s="2">
        <v>457</v>
      </c>
      <c r="L60" s="2">
        <v>263.70249999999999</v>
      </c>
      <c r="P60" s="2">
        <v>537</v>
      </c>
      <c r="Q60" s="7">
        <v>72736.669160000005</v>
      </c>
      <c r="S60" s="2">
        <v>457</v>
      </c>
      <c r="T60" s="2">
        <v>75257.556670000005</v>
      </c>
      <c r="V60" s="2">
        <v>677</v>
      </c>
      <c r="W60" s="2">
        <v>90640.617660000004</v>
      </c>
      <c r="Y60" s="2">
        <v>457</v>
      </c>
      <c r="Z60" s="2">
        <v>990.24019999999996</v>
      </c>
      <c r="AD60" s="2">
        <v>537</v>
      </c>
      <c r="AE60" s="2">
        <v>57696.311809999999</v>
      </c>
      <c r="AG60" s="2">
        <v>537</v>
      </c>
      <c r="AH60" s="2">
        <v>55723.894619999999</v>
      </c>
    </row>
    <row r="61" spans="2:34" x14ac:dyDescent="0.2">
      <c r="B61" s="2">
        <v>538</v>
      </c>
      <c r="C61" s="2">
        <v>238.20555999999999</v>
      </c>
      <c r="E61" s="2">
        <v>678</v>
      </c>
      <c r="F61" s="2">
        <v>105.13589</v>
      </c>
      <c r="H61" s="2">
        <v>458</v>
      </c>
      <c r="I61" s="2">
        <v>257.12929000000003</v>
      </c>
      <c r="K61" s="2">
        <v>458</v>
      </c>
      <c r="L61" s="2">
        <v>255.94117</v>
      </c>
      <c r="P61" s="2">
        <v>538</v>
      </c>
      <c r="Q61" s="7">
        <v>70279.485329999996</v>
      </c>
      <c r="S61" s="2">
        <v>458</v>
      </c>
      <c r="T61" s="2">
        <v>79231.339959999998</v>
      </c>
      <c r="V61" s="2">
        <v>678</v>
      </c>
      <c r="W61" s="2">
        <v>85897.018599999996</v>
      </c>
      <c r="Y61" s="2">
        <v>458</v>
      </c>
      <c r="Z61" s="2">
        <v>1016.41413</v>
      </c>
      <c r="AD61" s="2">
        <v>538</v>
      </c>
      <c r="AE61" s="2">
        <v>55759.872510000001</v>
      </c>
      <c r="AG61" s="2">
        <v>538</v>
      </c>
      <c r="AH61" s="2">
        <v>53987.260849999999</v>
      </c>
    </row>
    <row r="62" spans="2:34" x14ac:dyDescent="0.2">
      <c r="B62" s="2">
        <v>539</v>
      </c>
      <c r="C62" s="2">
        <v>267.9314</v>
      </c>
      <c r="E62" s="2">
        <v>679</v>
      </c>
      <c r="F62" s="2">
        <v>99.379000000000005</v>
      </c>
      <c r="H62" s="2">
        <v>459</v>
      </c>
      <c r="I62" s="2">
        <v>313.29939000000002</v>
      </c>
      <c r="K62" s="2">
        <v>459</v>
      </c>
      <c r="L62" s="2">
        <v>470.28868999999997</v>
      </c>
      <c r="P62" s="2">
        <v>539</v>
      </c>
      <c r="Q62" s="7">
        <v>67926.251350000006</v>
      </c>
      <c r="S62" s="2">
        <v>459</v>
      </c>
      <c r="T62" s="2">
        <v>82847.522949999999</v>
      </c>
      <c r="V62" s="2">
        <v>679</v>
      </c>
      <c r="W62" s="2">
        <v>79599.993100000007</v>
      </c>
      <c r="Y62" s="2">
        <v>459</v>
      </c>
      <c r="Z62" s="2">
        <v>1040.38705</v>
      </c>
      <c r="AD62" s="2">
        <v>539</v>
      </c>
      <c r="AE62" s="2">
        <v>53466.627610000003</v>
      </c>
      <c r="AG62" s="2">
        <v>539</v>
      </c>
      <c r="AH62" s="2">
        <v>51754.502560000001</v>
      </c>
    </row>
    <row r="63" spans="2:34" x14ac:dyDescent="0.2">
      <c r="B63" s="2">
        <v>540</v>
      </c>
      <c r="C63" s="2">
        <v>231.58342999999999</v>
      </c>
      <c r="E63" s="2">
        <v>680</v>
      </c>
      <c r="F63" s="2">
        <v>115.72266999999999</v>
      </c>
      <c r="H63" s="2">
        <v>460</v>
      </c>
      <c r="I63" s="2">
        <v>308.31671999999998</v>
      </c>
      <c r="K63" s="2">
        <v>460</v>
      </c>
      <c r="L63" s="2">
        <v>344.71919000000003</v>
      </c>
      <c r="P63" s="2">
        <v>540</v>
      </c>
      <c r="Q63" s="7">
        <v>65779.047869999995</v>
      </c>
      <c r="S63" s="2">
        <v>460</v>
      </c>
      <c r="T63" s="2">
        <v>85690.581210000004</v>
      </c>
      <c r="V63" s="2">
        <v>680</v>
      </c>
      <c r="W63" s="2">
        <v>76307.036829999997</v>
      </c>
      <c r="Y63" s="2">
        <v>460</v>
      </c>
      <c r="Z63" s="2">
        <v>1254.6053400000001</v>
      </c>
      <c r="AD63" s="2">
        <v>540</v>
      </c>
      <c r="AE63" s="2">
        <v>51445.286249999997</v>
      </c>
      <c r="AG63" s="2">
        <v>540</v>
      </c>
      <c r="AH63" s="2">
        <v>50440.060250000002</v>
      </c>
    </row>
    <row r="64" spans="2:34" x14ac:dyDescent="0.2">
      <c r="B64" s="2">
        <v>541</v>
      </c>
      <c r="C64" s="2">
        <v>225.60866999999999</v>
      </c>
      <c r="E64" s="2">
        <v>681</v>
      </c>
      <c r="F64" s="2">
        <v>177.94072</v>
      </c>
      <c r="H64" s="2">
        <v>461</v>
      </c>
      <c r="I64" s="2">
        <v>273.38733000000002</v>
      </c>
      <c r="K64" s="2">
        <v>461</v>
      </c>
      <c r="L64" s="2">
        <v>350.39231000000001</v>
      </c>
      <c r="P64" s="2">
        <v>541</v>
      </c>
      <c r="Q64" s="7">
        <v>63322.272850000001</v>
      </c>
      <c r="S64" s="2">
        <v>461</v>
      </c>
      <c r="T64" s="2">
        <v>89071.452690000006</v>
      </c>
      <c r="V64" s="2">
        <v>681</v>
      </c>
      <c r="W64" s="2">
        <v>72932.444380000001</v>
      </c>
      <c r="Y64" s="2">
        <v>461</v>
      </c>
      <c r="Z64" s="2">
        <v>945.82105999999999</v>
      </c>
      <c r="AD64" s="2">
        <v>541</v>
      </c>
      <c r="AE64" s="2">
        <v>50403.13119</v>
      </c>
      <c r="AG64" s="2">
        <v>541</v>
      </c>
      <c r="AH64" s="2">
        <v>48472.446210000002</v>
      </c>
    </row>
    <row r="65" spans="2:34" x14ac:dyDescent="0.2">
      <c r="B65" s="2">
        <v>542</v>
      </c>
      <c r="C65" s="2">
        <v>267.11297999999999</v>
      </c>
      <c r="E65" s="2">
        <v>682</v>
      </c>
      <c r="F65" s="2">
        <v>72.998230000000007</v>
      </c>
      <c r="H65" s="2">
        <v>462</v>
      </c>
      <c r="I65" s="2">
        <v>273.19092999999998</v>
      </c>
      <c r="K65" s="2">
        <v>462</v>
      </c>
      <c r="L65" s="2">
        <v>372.17286000000001</v>
      </c>
      <c r="P65" s="2">
        <v>542</v>
      </c>
      <c r="Q65" s="7">
        <v>61270.344819999998</v>
      </c>
      <c r="S65" s="2">
        <v>462</v>
      </c>
      <c r="T65" s="2">
        <v>92080.457420000006</v>
      </c>
      <c r="V65" s="2">
        <v>682</v>
      </c>
      <c r="W65" s="2">
        <v>68507.530570000003</v>
      </c>
      <c r="Y65" s="2">
        <v>462</v>
      </c>
      <c r="Z65" s="2">
        <v>1381.3571199999999</v>
      </c>
      <c r="AD65" s="2">
        <v>542</v>
      </c>
      <c r="AE65" s="2">
        <v>48629.05</v>
      </c>
      <c r="AG65" s="2">
        <v>542</v>
      </c>
      <c r="AH65" s="2">
        <v>47045.720359999999</v>
      </c>
    </row>
    <row r="66" spans="2:34" x14ac:dyDescent="0.2">
      <c r="B66" s="2">
        <v>543</v>
      </c>
      <c r="C66" s="2">
        <v>222.89690999999999</v>
      </c>
      <c r="E66" s="2">
        <v>683</v>
      </c>
      <c r="F66" s="2">
        <v>27.293600000000001</v>
      </c>
      <c r="H66" s="2">
        <v>463</v>
      </c>
      <c r="I66" s="2">
        <v>277.07188000000002</v>
      </c>
      <c r="K66" s="2">
        <v>463</v>
      </c>
      <c r="L66" s="2">
        <v>490.38026000000002</v>
      </c>
      <c r="P66" s="2">
        <v>543</v>
      </c>
      <c r="Q66" s="7">
        <v>59435.113010000001</v>
      </c>
      <c r="S66" s="2">
        <v>463</v>
      </c>
      <c r="T66" s="2">
        <v>94469.827959999995</v>
      </c>
      <c r="V66" s="2">
        <v>683</v>
      </c>
      <c r="W66" s="2">
        <v>65176.575109999998</v>
      </c>
      <c r="Y66" s="2">
        <v>463</v>
      </c>
      <c r="Z66" s="2">
        <v>1261.6220900000001</v>
      </c>
      <c r="AD66" s="2">
        <v>543</v>
      </c>
      <c r="AE66" s="2">
        <v>46729.209869999999</v>
      </c>
      <c r="AG66" s="2">
        <v>543</v>
      </c>
      <c r="AH66" s="2">
        <v>45330.525269999998</v>
      </c>
    </row>
    <row r="67" spans="2:34" x14ac:dyDescent="0.2">
      <c r="B67" s="2">
        <v>544</v>
      </c>
      <c r="C67" s="2">
        <v>243.03748999999999</v>
      </c>
      <c r="E67" s="2">
        <v>684</v>
      </c>
      <c r="F67" s="2">
        <v>343.89717000000002</v>
      </c>
      <c r="H67" s="2">
        <v>464</v>
      </c>
      <c r="I67" s="2">
        <v>297.66496999999998</v>
      </c>
      <c r="K67" s="2">
        <v>464</v>
      </c>
      <c r="L67" s="2">
        <v>335.69578000000001</v>
      </c>
      <c r="P67" s="2">
        <v>544</v>
      </c>
      <c r="Q67" s="7">
        <v>57636.340830000001</v>
      </c>
      <c r="S67" s="2">
        <v>464</v>
      </c>
      <c r="T67" s="2">
        <v>98354.020629999999</v>
      </c>
      <c r="V67" s="2">
        <v>684</v>
      </c>
      <c r="W67" s="2">
        <v>62392.649870000001</v>
      </c>
      <c r="Y67" s="2">
        <v>464</v>
      </c>
      <c r="Z67" s="2">
        <v>1397.56385</v>
      </c>
      <c r="AD67" s="2">
        <v>544</v>
      </c>
      <c r="AE67" s="2">
        <v>45185.459390000004</v>
      </c>
      <c r="AG67" s="2">
        <v>544</v>
      </c>
      <c r="AH67" s="2">
        <v>44100.983200000002</v>
      </c>
    </row>
    <row r="68" spans="2:34" x14ac:dyDescent="0.2">
      <c r="B68" s="2">
        <v>545</v>
      </c>
      <c r="C68" s="2">
        <v>246.51275000000001</v>
      </c>
      <c r="E68" s="2">
        <v>685</v>
      </c>
      <c r="F68" s="2">
        <v>204.10686999999999</v>
      </c>
      <c r="H68" s="2">
        <v>465</v>
      </c>
      <c r="I68" s="2">
        <v>261.88916</v>
      </c>
      <c r="K68" s="2">
        <v>465</v>
      </c>
      <c r="L68" s="2">
        <v>366.27697000000001</v>
      </c>
      <c r="P68" s="2">
        <v>545</v>
      </c>
      <c r="Q68" s="7">
        <v>55299.933389999998</v>
      </c>
      <c r="S68" s="2">
        <v>465</v>
      </c>
      <c r="T68" s="2">
        <v>102037.73972</v>
      </c>
      <c r="V68" s="2">
        <v>685</v>
      </c>
      <c r="W68" s="2">
        <v>58577.25649</v>
      </c>
      <c r="Y68" s="2">
        <v>465</v>
      </c>
      <c r="Z68" s="2">
        <v>1312.4957400000001</v>
      </c>
      <c r="AD68" s="2">
        <v>545</v>
      </c>
      <c r="AE68" s="2">
        <v>43954.838060000002</v>
      </c>
      <c r="AG68" s="2">
        <v>545</v>
      </c>
      <c r="AH68" s="2">
        <v>43030.172760000001</v>
      </c>
    </row>
    <row r="69" spans="2:34" x14ac:dyDescent="0.2">
      <c r="B69" s="2">
        <v>546</v>
      </c>
      <c r="C69" s="2">
        <v>273.42039999999997</v>
      </c>
      <c r="E69" s="2">
        <v>686</v>
      </c>
      <c r="F69" s="2">
        <v>133.89285000000001</v>
      </c>
      <c r="H69" s="2">
        <v>466</v>
      </c>
      <c r="I69" s="2">
        <v>293.14902999999998</v>
      </c>
      <c r="K69" s="2">
        <v>466</v>
      </c>
      <c r="L69" s="2">
        <v>302.24533000000002</v>
      </c>
      <c r="P69" s="2">
        <v>546</v>
      </c>
      <c r="Q69" s="7">
        <v>54189.437760000001</v>
      </c>
      <c r="S69" s="2">
        <v>466</v>
      </c>
      <c r="T69" s="2">
        <v>106781.47842</v>
      </c>
      <c r="V69" s="2">
        <v>686</v>
      </c>
      <c r="W69" s="2">
        <v>56687.89458</v>
      </c>
      <c r="Y69" s="2">
        <v>466</v>
      </c>
      <c r="Z69" s="2">
        <v>1450.82564</v>
      </c>
      <c r="AD69" s="2">
        <v>546</v>
      </c>
      <c r="AE69" s="2">
        <v>42364.4372</v>
      </c>
      <c r="AG69" s="2">
        <v>546</v>
      </c>
      <c r="AH69" s="2">
        <v>41159.704980000002</v>
      </c>
    </row>
    <row r="70" spans="2:34" x14ac:dyDescent="0.2">
      <c r="B70" s="2">
        <v>547</v>
      </c>
      <c r="C70" s="2">
        <v>270.40195</v>
      </c>
      <c r="E70" s="2">
        <v>687</v>
      </c>
      <c r="F70" s="2">
        <v>251.46696</v>
      </c>
      <c r="H70" s="2">
        <v>467</v>
      </c>
      <c r="I70" s="2">
        <v>282.98595999999998</v>
      </c>
      <c r="K70" s="2">
        <v>467</v>
      </c>
      <c r="L70" s="2">
        <v>517.32047999999998</v>
      </c>
      <c r="P70" s="2">
        <v>547</v>
      </c>
      <c r="Q70" s="7">
        <v>52283.950239999998</v>
      </c>
      <c r="S70" s="2">
        <v>467</v>
      </c>
      <c r="T70" s="2">
        <v>109039.61237</v>
      </c>
      <c r="V70" s="2">
        <v>687</v>
      </c>
      <c r="W70" s="2">
        <v>53486.419090000003</v>
      </c>
      <c r="Y70" s="2">
        <v>467</v>
      </c>
      <c r="Z70" s="2">
        <v>1254.3656699999999</v>
      </c>
      <c r="AD70" s="2">
        <v>547</v>
      </c>
      <c r="AE70" s="2">
        <v>41481.612029999997</v>
      </c>
      <c r="AG70" s="2">
        <v>547</v>
      </c>
      <c r="AH70" s="2">
        <v>39797.140740000003</v>
      </c>
    </row>
    <row r="71" spans="2:34" x14ac:dyDescent="0.2">
      <c r="B71" s="2">
        <v>548</v>
      </c>
      <c r="C71" s="2">
        <v>267.9855</v>
      </c>
      <c r="E71" s="2">
        <v>688</v>
      </c>
      <c r="F71" s="2">
        <v>121.15148000000001</v>
      </c>
      <c r="H71" s="2">
        <v>468</v>
      </c>
      <c r="I71" s="2">
        <v>261.70834000000002</v>
      </c>
      <c r="K71" s="2">
        <v>468</v>
      </c>
      <c r="L71" s="2">
        <v>317.47847000000002</v>
      </c>
      <c r="P71" s="2">
        <v>548</v>
      </c>
      <c r="Q71" s="7">
        <v>51003.631179999997</v>
      </c>
      <c r="S71" s="2">
        <v>468</v>
      </c>
      <c r="T71" s="2">
        <v>111737.99546000001</v>
      </c>
      <c r="V71" s="2">
        <v>688</v>
      </c>
      <c r="W71" s="2">
        <v>50505.778830000003</v>
      </c>
      <c r="Y71" s="2">
        <v>468</v>
      </c>
      <c r="Z71" s="2">
        <v>1521.2595899999999</v>
      </c>
      <c r="AD71" s="2">
        <v>548</v>
      </c>
      <c r="AE71" s="2">
        <v>40395.88738</v>
      </c>
      <c r="AG71" s="2">
        <v>548</v>
      </c>
      <c r="AH71" s="2">
        <v>39107.040399999998</v>
      </c>
    </row>
    <row r="72" spans="2:34" x14ac:dyDescent="0.2">
      <c r="B72" s="2">
        <v>549</v>
      </c>
      <c r="C72" s="2">
        <v>291.15159</v>
      </c>
      <c r="E72" s="2">
        <v>689</v>
      </c>
      <c r="F72" s="2">
        <v>21.18291</v>
      </c>
      <c r="H72" s="2">
        <v>469</v>
      </c>
      <c r="I72" s="2">
        <v>311.66588999999999</v>
      </c>
      <c r="K72" s="2">
        <v>469</v>
      </c>
      <c r="L72" s="2">
        <v>292.32058999999998</v>
      </c>
      <c r="P72" s="2">
        <v>549</v>
      </c>
      <c r="Q72" s="7">
        <v>49522.428099999997</v>
      </c>
      <c r="S72" s="2">
        <v>469</v>
      </c>
      <c r="T72" s="2">
        <v>115233.62449</v>
      </c>
      <c r="V72" s="2">
        <v>689</v>
      </c>
      <c r="W72" s="2">
        <v>47701.336609999998</v>
      </c>
      <c r="Y72" s="2">
        <v>469</v>
      </c>
      <c r="Z72" s="2">
        <v>1680.9327800000001</v>
      </c>
      <c r="AD72" s="2">
        <v>549</v>
      </c>
      <c r="AE72" s="2">
        <v>39005.09691</v>
      </c>
      <c r="AG72" s="2">
        <v>549</v>
      </c>
      <c r="AH72" s="2">
        <v>37814.762909999998</v>
      </c>
    </row>
    <row r="73" spans="2:34" x14ac:dyDescent="0.2">
      <c r="B73" s="2">
        <v>550</v>
      </c>
      <c r="C73" s="2">
        <v>274.26101999999997</v>
      </c>
      <c r="E73" s="2">
        <v>690</v>
      </c>
      <c r="F73" s="2">
        <v>235.94301999999999</v>
      </c>
      <c r="H73" s="2">
        <v>470</v>
      </c>
      <c r="I73" s="2">
        <v>301.05239</v>
      </c>
      <c r="K73" s="2">
        <v>470</v>
      </c>
      <c r="L73" s="2">
        <v>272.02947</v>
      </c>
      <c r="P73" s="2">
        <v>550</v>
      </c>
      <c r="Q73" s="7">
        <v>47978.334190000001</v>
      </c>
      <c r="S73" s="2">
        <v>470</v>
      </c>
      <c r="T73" s="2">
        <v>118796.33788000001</v>
      </c>
      <c r="V73" s="2">
        <v>690</v>
      </c>
      <c r="W73" s="2">
        <v>46535.693350000001</v>
      </c>
      <c r="Y73" s="2">
        <v>470</v>
      </c>
      <c r="Z73" s="2">
        <v>1615.4817599999999</v>
      </c>
      <c r="AD73" s="2">
        <v>550</v>
      </c>
      <c r="AE73" s="2">
        <v>38134.157720000003</v>
      </c>
      <c r="AG73" s="2">
        <v>550</v>
      </c>
      <c r="AH73" s="2">
        <v>36524.168919999996</v>
      </c>
    </row>
    <row r="74" spans="2:34" x14ac:dyDescent="0.2">
      <c r="B74" s="2">
        <v>551</v>
      </c>
      <c r="C74" s="2">
        <v>327.65048000000002</v>
      </c>
      <c r="E74" s="2">
        <v>691</v>
      </c>
      <c r="F74" s="2">
        <v>100.04871</v>
      </c>
      <c r="H74" s="2">
        <v>471</v>
      </c>
      <c r="I74" s="2">
        <v>322.35998999999998</v>
      </c>
      <c r="K74" s="2">
        <v>471</v>
      </c>
      <c r="L74" s="2">
        <v>323.36111</v>
      </c>
      <c r="P74" s="2">
        <v>551</v>
      </c>
      <c r="Q74" s="7">
        <v>46634.903050000001</v>
      </c>
      <c r="S74" s="2">
        <v>471</v>
      </c>
      <c r="T74" s="2">
        <v>124283.14405</v>
      </c>
      <c r="V74" s="2">
        <v>691</v>
      </c>
      <c r="W74" s="2">
        <v>43011.641819999997</v>
      </c>
      <c r="Y74" s="2">
        <v>471</v>
      </c>
      <c r="Z74" s="2">
        <v>1633.50404</v>
      </c>
      <c r="AD74" s="2">
        <v>551</v>
      </c>
      <c r="AE74" s="2">
        <v>36830.342219999999</v>
      </c>
      <c r="AG74" s="2">
        <v>551</v>
      </c>
      <c r="AH74" s="2">
        <v>35943.39486</v>
      </c>
    </row>
    <row r="75" spans="2:34" x14ac:dyDescent="0.2">
      <c r="B75" s="2">
        <v>552</v>
      </c>
      <c r="C75" s="2">
        <v>282.53994</v>
      </c>
      <c r="E75" s="2">
        <v>692</v>
      </c>
      <c r="F75" s="2">
        <v>181.10885999999999</v>
      </c>
      <c r="H75" s="2">
        <v>472</v>
      </c>
      <c r="I75" s="2">
        <v>352.03316999999998</v>
      </c>
      <c r="K75" s="2">
        <v>472</v>
      </c>
      <c r="L75" s="2">
        <v>230.30605</v>
      </c>
      <c r="P75" s="2">
        <v>552</v>
      </c>
      <c r="Q75" s="7">
        <v>45017.247990000003</v>
      </c>
      <c r="S75" s="2">
        <v>472</v>
      </c>
      <c r="T75" s="2">
        <v>129535.96072</v>
      </c>
      <c r="V75" s="2">
        <v>692</v>
      </c>
      <c r="W75" s="2">
        <v>42695.553699999997</v>
      </c>
      <c r="Y75" s="2">
        <v>472</v>
      </c>
      <c r="Z75" s="2">
        <v>1798.30215</v>
      </c>
      <c r="AD75" s="2">
        <v>552</v>
      </c>
      <c r="AE75" s="2">
        <v>35638.616090000003</v>
      </c>
      <c r="AG75" s="2">
        <v>552</v>
      </c>
      <c r="AH75" s="2">
        <v>34931.259700000002</v>
      </c>
    </row>
    <row r="76" spans="2:34" x14ac:dyDescent="0.2">
      <c r="B76" s="2">
        <v>553</v>
      </c>
      <c r="C76" s="2">
        <v>340.4348</v>
      </c>
      <c r="E76" s="2">
        <v>693</v>
      </c>
      <c r="F76" s="2">
        <v>255.28244000000001</v>
      </c>
      <c r="H76" s="2">
        <v>473</v>
      </c>
      <c r="I76" s="2">
        <v>360.38364999999999</v>
      </c>
      <c r="K76" s="2">
        <v>473</v>
      </c>
      <c r="L76" s="2">
        <v>362.84962000000002</v>
      </c>
      <c r="P76" s="2">
        <v>553</v>
      </c>
      <c r="Q76" s="7">
        <v>44166.672760000001</v>
      </c>
      <c r="S76" s="2">
        <v>473</v>
      </c>
      <c r="T76" s="2">
        <v>134721.61603</v>
      </c>
      <c r="V76" s="2">
        <v>693</v>
      </c>
      <c r="W76" s="2">
        <v>40916.839780000002</v>
      </c>
      <c r="Y76" s="2">
        <v>473</v>
      </c>
      <c r="Z76" s="2">
        <v>1724.0686000000001</v>
      </c>
      <c r="AD76" s="2">
        <v>553</v>
      </c>
      <c r="AE76" s="2">
        <v>34824.680800000002</v>
      </c>
      <c r="AG76" s="2">
        <v>553</v>
      </c>
      <c r="AH76" s="2">
        <v>34303.163260000001</v>
      </c>
    </row>
    <row r="77" spans="2:34" x14ac:dyDescent="0.2">
      <c r="B77" s="2">
        <v>554</v>
      </c>
      <c r="C77" s="2">
        <v>415.24914000000001</v>
      </c>
      <c r="E77" s="2">
        <v>694</v>
      </c>
      <c r="F77" s="2">
        <v>204.21592999999999</v>
      </c>
      <c r="H77" s="2">
        <v>474</v>
      </c>
      <c r="I77" s="2">
        <v>372.47237999999999</v>
      </c>
      <c r="K77" s="2">
        <v>474</v>
      </c>
      <c r="L77" s="2">
        <v>167.45867000000001</v>
      </c>
      <c r="P77" s="2">
        <v>554</v>
      </c>
      <c r="Q77" s="7">
        <v>42376.827080000003</v>
      </c>
      <c r="S77" s="2">
        <v>474</v>
      </c>
      <c r="T77" s="2">
        <v>141572.44912</v>
      </c>
      <c r="V77" s="2">
        <v>694</v>
      </c>
      <c r="W77" s="2">
        <v>39932.65696</v>
      </c>
      <c r="Y77" s="2">
        <v>474</v>
      </c>
      <c r="Z77" s="2">
        <v>1958.58149</v>
      </c>
      <c r="AD77" s="2">
        <v>554</v>
      </c>
      <c r="AE77" s="2">
        <v>34599.559209999999</v>
      </c>
      <c r="AG77" s="2">
        <v>554</v>
      </c>
      <c r="AH77" s="2">
        <v>32742.66576</v>
      </c>
    </row>
    <row r="78" spans="2:34" x14ac:dyDescent="0.2">
      <c r="B78" s="2">
        <v>555</v>
      </c>
      <c r="C78" s="2">
        <v>424.46231</v>
      </c>
      <c r="E78" s="2">
        <v>695</v>
      </c>
      <c r="F78" s="2">
        <v>114.94687</v>
      </c>
      <c r="H78" s="2">
        <v>475</v>
      </c>
      <c r="I78" s="2">
        <v>385.70415000000003</v>
      </c>
      <c r="K78" s="2">
        <v>475</v>
      </c>
      <c r="L78" s="2">
        <v>424.02014000000003</v>
      </c>
      <c r="P78" s="2">
        <v>555</v>
      </c>
      <c r="Q78" s="7">
        <v>41955.548210000001</v>
      </c>
      <c r="S78" s="2">
        <v>475</v>
      </c>
      <c r="T78" s="2">
        <v>146954.58356</v>
      </c>
      <c r="V78" s="2">
        <v>695</v>
      </c>
      <c r="W78" s="2">
        <v>36582.404900000001</v>
      </c>
      <c r="Y78" s="2">
        <v>475</v>
      </c>
      <c r="Z78" s="2">
        <v>1942.00864</v>
      </c>
      <c r="AD78" s="2">
        <v>555</v>
      </c>
      <c r="AE78" s="2">
        <v>33167.029540000003</v>
      </c>
      <c r="AG78" s="2">
        <v>555</v>
      </c>
      <c r="AH78" s="2">
        <v>32109.139210000001</v>
      </c>
    </row>
    <row r="79" spans="2:34" x14ac:dyDescent="0.2">
      <c r="B79" s="2">
        <v>556</v>
      </c>
      <c r="C79" s="2">
        <v>408.59848</v>
      </c>
      <c r="E79" s="2">
        <v>696</v>
      </c>
      <c r="F79" s="2">
        <v>116.56198999999999</v>
      </c>
      <c r="H79" s="2">
        <v>476</v>
      </c>
      <c r="I79" s="2">
        <v>362.34780999999998</v>
      </c>
      <c r="K79" s="2">
        <v>476</v>
      </c>
      <c r="L79" s="2">
        <v>417.75301000000002</v>
      </c>
      <c r="P79" s="2">
        <v>556</v>
      </c>
      <c r="Q79" s="7">
        <v>40293.2762</v>
      </c>
      <c r="S79" s="2">
        <v>476</v>
      </c>
      <c r="T79" s="2">
        <v>154748.35436999999</v>
      </c>
      <c r="V79" s="2">
        <v>696</v>
      </c>
      <c r="W79" s="2">
        <v>34395.529560000003</v>
      </c>
      <c r="Y79" s="2">
        <v>476</v>
      </c>
      <c r="Z79" s="2">
        <v>2030.42482</v>
      </c>
      <c r="AD79" s="2">
        <v>556</v>
      </c>
      <c r="AE79" s="2">
        <v>32043.368610000001</v>
      </c>
      <c r="AG79" s="2">
        <v>556</v>
      </c>
      <c r="AH79" s="2">
        <v>31289.16864</v>
      </c>
    </row>
    <row r="80" spans="2:34" x14ac:dyDescent="0.2">
      <c r="B80" s="2">
        <v>557</v>
      </c>
      <c r="C80" s="2">
        <v>409.67439000000002</v>
      </c>
      <c r="E80" s="2">
        <v>697</v>
      </c>
      <c r="F80" s="2">
        <v>354.22158999999999</v>
      </c>
      <c r="H80" s="2">
        <v>477</v>
      </c>
      <c r="I80" s="2">
        <v>305.8349</v>
      </c>
      <c r="K80" s="2">
        <v>477</v>
      </c>
      <c r="L80" s="2">
        <v>198.83396999999999</v>
      </c>
      <c r="P80" s="2">
        <v>557</v>
      </c>
      <c r="Q80" s="7">
        <v>39285.260719999998</v>
      </c>
      <c r="S80" s="2">
        <v>477</v>
      </c>
      <c r="T80" s="2">
        <v>162842.81943</v>
      </c>
      <c r="V80" s="2">
        <v>697</v>
      </c>
      <c r="W80" s="2">
        <v>34501.094290000001</v>
      </c>
      <c r="Y80" s="2">
        <v>477</v>
      </c>
      <c r="Z80" s="2">
        <v>1937.82617</v>
      </c>
      <c r="AD80" s="2">
        <v>557</v>
      </c>
      <c r="AE80" s="2">
        <v>31492.991720000002</v>
      </c>
      <c r="AG80" s="2">
        <v>557</v>
      </c>
      <c r="AH80" s="2">
        <v>30182.114959999999</v>
      </c>
    </row>
    <row r="81" spans="2:34" x14ac:dyDescent="0.2">
      <c r="B81" s="2">
        <v>558</v>
      </c>
      <c r="C81" s="2">
        <v>435.23822000000001</v>
      </c>
      <c r="E81" s="2">
        <v>698</v>
      </c>
      <c r="F81" s="2">
        <v>176.88565</v>
      </c>
      <c r="H81" s="2">
        <v>478</v>
      </c>
      <c r="I81" s="2">
        <v>319.27174000000002</v>
      </c>
      <c r="K81" s="2">
        <v>478</v>
      </c>
      <c r="L81" s="2">
        <v>313.93365</v>
      </c>
      <c r="P81" s="2">
        <v>558</v>
      </c>
      <c r="Q81" s="7">
        <v>38424.147839999998</v>
      </c>
      <c r="S81" s="2">
        <v>478</v>
      </c>
      <c r="T81" s="2">
        <v>171776.46296</v>
      </c>
      <c r="V81" s="2">
        <v>698</v>
      </c>
      <c r="W81" s="2">
        <v>33549.30704</v>
      </c>
      <c r="Y81" s="2">
        <v>478</v>
      </c>
      <c r="Z81" s="2">
        <v>2348.3847999999998</v>
      </c>
      <c r="AD81" s="2">
        <v>558</v>
      </c>
      <c r="AE81" s="2">
        <v>30304.44166</v>
      </c>
      <c r="AG81" s="2">
        <v>558</v>
      </c>
      <c r="AH81" s="2">
        <v>29516.417570000001</v>
      </c>
    </row>
    <row r="82" spans="2:34" x14ac:dyDescent="0.2">
      <c r="B82" s="2">
        <v>559</v>
      </c>
      <c r="C82" s="2">
        <v>426.36507999999998</v>
      </c>
      <c r="E82" s="2">
        <v>699</v>
      </c>
      <c r="F82" s="2">
        <v>-4.8506099999999996</v>
      </c>
      <c r="H82" s="2">
        <v>479</v>
      </c>
      <c r="I82" s="2">
        <v>289.41734000000002</v>
      </c>
      <c r="K82" s="2">
        <v>479</v>
      </c>
      <c r="L82" s="2">
        <v>277.09811000000002</v>
      </c>
      <c r="P82" s="2">
        <v>559</v>
      </c>
      <c r="Q82" s="7">
        <v>37012.968410000001</v>
      </c>
      <c r="S82" s="2">
        <v>479</v>
      </c>
      <c r="T82" s="2">
        <v>181494.30337000001</v>
      </c>
      <c r="V82" s="2">
        <v>699</v>
      </c>
      <c r="W82" s="2">
        <v>32250.074250000001</v>
      </c>
      <c r="Y82" s="2">
        <v>479</v>
      </c>
      <c r="Z82" s="2">
        <v>2568.76451</v>
      </c>
      <c r="AD82" s="2">
        <v>559</v>
      </c>
      <c r="AE82" s="2">
        <v>29546.989539999999</v>
      </c>
      <c r="AG82" s="2">
        <v>559</v>
      </c>
      <c r="AH82" s="2">
        <v>28323.3835</v>
      </c>
    </row>
    <row r="83" spans="2:34" x14ac:dyDescent="0.2">
      <c r="B83" s="2">
        <v>560</v>
      </c>
      <c r="C83" s="2">
        <v>436.92149000000001</v>
      </c>
      <c r="E83" s="2">
        <v>700</v>
      </c>
      <c r="F83" s="2">
        <v>24.519179999999999</v>
      </c>
      <c r="H83" s="2">
        <v>480</v>
      </c>
      <c r="I83" s="2">
        <v>264.98835000000003</v>
      </c>
      <c r="K83" s="2">
        <v>480</v>
      </c>
      <c r="L83" s="2">
        <v>220.84950000000001</v>
      </c>
      <c r="P83" s="2">
        <v>560</v>
      </c>
      <c r="Q83" s="7">
        <v>35463.26814</v>
      </c>
      <c r="S83" s="2">
        <v>480</v>
      </c>
      <c r="T83" s="2">
        <v>188671.89993000001</v>
      </c>
      <c r="V83" s="2">
        <v>700</v>
      </c>
      <c r="W83" s="2">
        <v>31084.732069999998</v>
      </c>
      <c r="Y83" s="2">
        <v>480</v>
      </c>
      <c r="Z83" s="2">
        <v>2415.3734899999999</v>
      </c>
      <c r="AD83" s="2">
        <v>560</v>
      </c>
      <c r="AE83" s="2">
        <v>28545.109960000002</v>
      </c>
      <c r="AG83" s="2">
        <v>560</v>
      </c>
      <c r="AH83" s="2">
        <v>27587.470669999999</v>
      </c>
    </row>
    <row r="84" spans="2:34" x14ac:dyDescent="0.2">
      <c r="B84" s="2">
        <v>561</v>
      </c>
      <c r="C84" s="2">
        <v>503.72388999999998</v>
      </c>
      <c r="E84" s="2">
        <v>701</v>
      </c>
      <c r="F84" s="2">
        <v>352.65436999999997</v>
      </c>
      <c r="H84" s="2">
        <v>481</v>
      </c>
      <c r="I84" s="2">
        <v>267.77330999999998</v>
      </c>
      <c r="K84" s="2">
        <v>481</v>
      </c>
      <c r="L84" s="2">
        <v>237.36158</v>
      </c>
      <c r="P84" s="2">
        <v>561</v>
      </c>
      <c r="Q84" s="7">
        <v>35019.889020000002</v>
      </c>
      <c r="S84" s="2">
        <v>481</v>
      </c>
      <c r="T84" s="2">
        <v>196554.72510000001</v>
      </c>
      <c r="V84" s="2">
        <v>701</v>
      </c>
      <c r="W84" s="2">
        <v>31296.255440000001</v>
      </c>
      <c r="Y84" s="2">
        <v>481</v>
      </c>
      <c r="Z84" s="2">
        <v>2457.09584</v>
      </c>
      <c r="AD84" s="2">
        <v>561</v>
      </c>
      <c r="AE84" s="2">
        <v>27583.015520000001</v>
      </c>
      <c r="AG84" s="2">
        <v>561</v>
      </c>
      <c r="AH84" s="2">
        <v>26873.69699</v>
      </c>
    </row>
    <row r="85" spans="2:34" x14ac:dyDescent="0.2">
      <c r="B85" s="2">
        <v>562</v>
      </c>
      <c r="C85" s="2">
        <v>405.88225</v>
      </c>
      <c r="E85" s="2">
        <v>702</v>
      </c>
      <c r="F85" s="2">
        <v>206.70867000000001</v>
      </c>
      <c r="H85" s="2">
        <v>482</v>
      </c>
      <c r="I85" s="2">
        <v>245.17233999999999</v>
      </c>
      <c r="K85" s="2">
        <v>482</v>
      </c>
      <c r="L85" s="2">
        <v>354.05203</v>
      </c>
      <c r="P85" s="2">
        <v>562</v>
      </c>
      <c r="Q85" s="7">
        <v>33741.565719999999</v>
      </c>
      <c r="S85" s="2">
        <v>482</v>
      </c>
      <c r="T85" s="2">
        <v>205611.25029</v>
      </c>
      <c r="V85" s="2">
        <v>702</v>
      </c>
      <c r="W85" s="2">
        <v>29586.954699999998</v>
      </c>
      <c r="Y85" s="2">
        <v>482</v>
      </c>
      <c r="Z85" s="2">
        <v>2445.98344</v>
      </c>
      <c r="AD85" s="2">
        <v>562</v>
      </c>
      <c r="AE85" s="2">
        <v>26623.593970000002</v>
      </c>
      <c r="AG85" s="2">
        <v>562</v>
      </c>
      <c r="AH85" s="2">
        <v>25587.630209999999</v>
      </c>
    </row>
    <row r="86" spans="2:34" x14ac:dyDescent="0.2">
      <c r="B86" s="2">
        <v>563</v>
      </c>
      <c r="C86" s="2">
        <v>429.86766</v>
      </c>
      <c r="E86" s="2">
        <v>703</v>
      </c>
      <c r="F86" s="2">
        <v>56.263689999999997</v>
      </c>
      <c r="H86" s="2">
        <v>483</v>
      </c>
      <c r="I86" s="2">
        <v>302.47575999999998</v>
      </c>
      <c r="K86" s="2">
        <v>483</v>
      </c>
      <c r="L86" s="2">
        <v>323.3356</v>
      </c>
      <c r="P86" s="2">
        <v>563</v>
      </c>
      <c r="Q86" s="7">
        <v>32189.72681</v>
      </c>
      <c r="S86" s="2">
        <v>483</v>
      </c>
      <c r="T86" s="2">
        <v>212613.29253999999</v>
      </c>
      <c r="V86" s="2">
        <v>703</v>
      </c>
      <c r="W86" s="2">
        <v>29519.38306</v>
      </c>
      <c r="Y86" s="2">
        <v>483</v>
      </c>
      <c r="Z86" s="2">
        <v>2970.8513499999999</v>
      </c>
      <c r="AD86" s="2">
        <v>563</v>
      </c>
      <c r="AE86" s="2">
        <v>26242.37254</v>
      </c>
      <c r="AG86" s="2">
        <v>563</v>
      </c>
      <c r="AH86" s="2">
        <v>25059.94988</v>
      </c>
    </row>
    <row r="87" spans="2:34" x14ac:dyDescent="0.2">
      <c r="B87" s="2">
        <v>564</v>
      </c>
      <c r="C87" s="2">
        <v>427.48253</v>
      </c>
      <c r="E87" s="2">
        <v>704</v>
      </c>
      <c r="F87" s="2">
        <v>77.783910000000006</v>
      </c>
      <c r="H87" s="2">
        <v>484</v>
      </c>
      <c r="I87" s="2">
        <v>362.18284999999997</v>
      </c>
      <c r="K87" s="2">
        <v>484</v>
      </c>
      <c r="L87" s="2">
        <v>160.89694</v>
      </c>
      <c r="P87" s="2">
        <v>564</v>
      </c>
      <c r="Q87" s="7">
        <v>31613.86419</v>
      </c>
      <c r="S87" s="2">
        <v>484</v>
      </c>
      <c r="T87" s="2">
        <v>220776.94850999999</v>
      </c>
      <c r="V87" s="2">
        <v>704</v>
      </c>
      <c r="W87" s="2">
        <v>28788.749189999999</v>
      </c>
      <c r="Y87" s="2">
        <v>484</v>
      </c>
      <c r="Z87" s="2">
        <v>2819.4586300000001</v>
      </c>
      <c r="AD87" s="2">
        <v>564</v>
      </c>
      <c r="AE87" s="2">
        <v>25043.808519999999</v>
      </c>
      <c r="AG87" s="2">
        <v>564</v>
      </c>
      <c r="AH87" s="2">
        <v>24347.77954</v>
      </c>
    </row>
    <row r="88" spans="2:34" x14ac:dyDescent="0.2">
      <c r="B88" s="2">
        <v>565</v>
      </c>
      <c r="C88" s="2">
        <v>370.81902000000002</v>
      </c>
      <c r="E88" s="2">
        <v>705</v>
      </c>
      <c r="F88" s="2">
        <v>288.76215999999999</v>
      </c>
      <c r="H88" s="2">
        <v>485</v>
      </c>
      <c r="I88" s="2">
        <v>312.8442</v>
      </c>
      <c r="K88" s="2">
        <v>485</v>
      </c>
      <c r="L88" s="2">
        <v>266.10530999999997</v>
      </c>
      <c r="P88" s="2">
        <v>565</v>
      </c>
      <c r="Q88" s="7">
        <v>30420.814600000002</v>
      </c>
      <c r="S88" s="2">
        <v>485</v>
      </c>
      <c r="T88" s="2">
        <v>228897.95994999999</v>
      </c>
      <c r="V88" s="2">
        <v>705</v>
      </c>
      <c r="W88" s="2">
        <v>28183.16661</v>
      </c>
      <c r="Y88" s="2">
        <v>485</v>
      </c>
      <c r="Z88" s="2">
        <v>2886.8267900000001</v>
      </c>
      <c r="AD88" s="2">
        <v>565</v>
      </c>
      <c r="AE88" s="2">
        <v>24356.85153</v>
      </c>
      <c r="AG88" s="2">
        <v>565</v>
      </c>
      <c r="AH88" s="2">
        <v>23039.926019999999</v>
      </c>
    </row>
    <row r="89" spans="2:34" x14ac:dyDescent="0.2">
      <c r="B89" s="2">
        <v>566</v>
      </c>
      <c r="C89" s="2">
        <v>335.94358</v>
      </c>
      <c r="E89" s="2">
        <v>706</v>
      </c>
      <c r="F89" s="2">
        <v>133.30231000000001</v>
      </c>
      <c r="H89" s="2">
        <v>486</v>
      </c>
      <c r="I89" s="2">
        <v>283.07391999999999</v>
      </c>
      <c r="K89" s="2">
        <v>486</v>
      </c>
      <c r="L89" s="2">
        <v>367.96694000000002</v>
      </c>
      <c r="P89" s="2">
        <v>566</v>
      </c>
      <c r="Q89" s="7">
        <v>29625.533530000001</v>
      </c>
      <c r="S89" s="2">
        <v>486</v>
      </c>
      <c r="T89" s="2">
        <v>234549.67507</v>
      </c>
      <c r="V89" s="2">
        <v>706</v>
      </c>
      <c r="W89" s="2">
        <v>27301.780289999999</v>
      </c>
      <c r="Y89" s="2">
        <v>486</v>
      </c>
      <c r="Z89" s="2">
        <v>2898.1642900000002</v>
      </c>
      <c r="AD89" s="2">
        <v>566</v>
      </c>
      <c r="AE89" s="2">
        <v>23157.306039999999</v>
      </c>
      <c r="AG89" s="2">
        <v>566</v>
      </c>
      <c r="AH89" s="2">
        <v>22490.834279999999</v>
      </c>
    </row>
    <row r="90" spans="2:34" x14ac:dyDescent="0.2">
      <c r="B90" s="2">
        <v>567</v>
      </c>
      <c r="C90" s="2">
        <v>344.45015000000001</v>
      </c>
      <c r="E90" s="2">
        <v>707</v>
      </c>
      <c r="F90" s="2">
        <v>405.53525000000002</v>
      </c>
      <c r="H90" s="2">
        <v>487</v>
      </c>
      <c r="I90" s="2">
        <v>315.21267999999998</v>
      </c>
      <c r="K90" s="2">
        <v>487</v>
      </c>
      <c r="L90" s="2">
        <v>262.40503999999999</v>
      </c>
      <c r="P90" s="2">
        <v>567</v>
      </c>
      <c r="Q90" s="7">
        <v>29004.022540000002</v>
      </c>
      <c r="S90" s="2">
        <v>487</v>
      </c>
      <c r="T90" s="2">
        <v>240641.44991</v>
      </c>
      <c r="V90" s="2">
        <v>707</v>
      </c>
      <c r="W90" s="2">
        <v>26166.39084</v>
      </c>
      <c r="Y90" s="2">
        <v>487</v>
      </c>
      <c r="Z90" s="2">
        <v>3476</v>
      </c>
      <c r="AD90" s="2">
        <v>567</v>
      </c>
      <c r="AE90" s="2">
        <v>22206.316429999999</v>
      </c>
      <c r="AG90" s="2">
        <v>567</v>
      </c>
      <c r="AH90" s="2">
        <v>21643.17038</v>
      </c>
    </row>
    <row r="91" spans="2:34" x14ac:dyDescent="0.2">
      <c r="B91" s="2">
        <v>568</v>
      </c>
      <c r="C91" s="2">
        <v>285.11374000000001</v>
      </c>
      <c r="E91" s="2">
        <v>708</v>
      </c>
      <c r="F91" s="2">
        <v>410.94195000000002</v>
      </c>
      <c r="H91" s="2">
        <v>488</v>
      </c>
      <c r="I91" s="2">
        <v>349.16608000000002</v>
      </c>
      <c r="K91" s="2">
        <v>488</v>
      </c>
      <c r="L91" s="2">
        <v>512.70330000000001</v>
      </c>
      <c r="P91" s="2">
        <v>568</v>
      </c>
      <c r="Q91" s="7">
        <v>27556.451160000001</v>
      </c>
      <c r="S91" s="2">
        <v>488</v>
      </c>
      <c r="T91" s="2">
        <v>245402.37254000001</v>
      </c>
      <c r="V91" s="2">
        <v>708</v>
      </c>
      <c r="W91" s="2">
        <v>26537.91562</v>
      </c>
      <c r="Y91" s="2">
        <v>488</v>
      </c>
      <c r="Z91" s="2">
        <v>3594.3487</v>
      </c>
      <c r="AD91" s="2">
        <v>568</v>
      </c>
      <c r="AE91" s="2">
        <v>21509.91187</v>
      </c>
      <c r="AG91" s="2">
        <v>568</v>
      </c>
      <c r="AH91" s="2">
        <v>20948.613730000001</v>
      </c>
    </row>
    <row r="92" spans="2:34" x14ac:dyDescent="0.2">
      <c r="B92" s="2">
        <v>569</v>
      </c>
      <c r="C92" s="2">
        <v>316.17527999999999</v>
      </c>
      <c r="E92" s="2">
        <v>709</v>
      </c>
      <c r="F92" s="2">
        <v>216.67224999999999</v>
      </c>
      <c r="H92" s="2">
        <v>489</v>
      </c>
      <c r="I92" s="2">
        <v>350.34917999999999</v>
      </c>
      <c r="K92" s="2">
        <v>489</v>
      </c>
      <c r="L92" s="2">
        <v>282.29340000000002</v>
      </c>
      <c r="P92" s="2">
        <v>569</v>
      </c>
      <c r="Q92" s="7">
        <v>26292.85699</v>
      </c>
      <c r="S92" s="2">
        <v>489</v>
      </c>
      <c r="T92" s="2">
        <v>248397.75724000001</v>
      </c>
      <c r="V92" s="2">
        <v>709</v>
      </c>
      <c r="W92" s="2">
        <v>25952.79235</v>
      </c>
      <c r="Y92" s="2">
        <v>489</v>
      </c>
      <c r="Z92" s="2">
        <v>3430.8098</v>
      </c>
      <c r="AD92" s="2">
        <v>569</v>
      </c>
      <c r="AE92" s="2">
        <v>20673.084589999999</v>
      </c>
      <c r="AG92" s="2">
        <v>569</v>
      </c>
      <c r="AH92" s="2">
        <v>19961.060600000001</v>
      </c>
    </row>
    <row r="93" spans="2:34" x14ac:dyDescent="0.2">
      <c r="B93" s="2">
        <v>570</v>
      </c>
      <c r="C93" s="2">
        <v>325.42061999999999</v>
      </c>
      <c r="E93" s="2">
        <v>710</v>
      </c>
      <c r="F93" s="2">
        <v>208.22057000000001</v>
      </c>
      <c r="H93" s="2">
        <v>490</v>
      </c>
      <c r="I93" s="2">
        <v>356.55547000000001</v>
      </c>
      <c r="K93" s="2">
        <v>490</v>
      </c>
      <c r="L93" s="2">
        <v>188.90806000000001</v>
      </c>
      <c r="P93" s="2">
        <v>570</v>
      </c>
      <c r="Q93" s="7">
        <v>25197.546760000001</v>
      </c>
      <c r="S93" s="2">
        <v>490</v>
      </c>
      <c r="T93" s="2">
        <v>251648.29612000001</v>
      </c>
      <c r="V93" s="2">
        <v>710</v>
      </c>
      <c r="W93" s="2">
        <v>24716.230609999999</v>
      </c>
      <c r="Y93" s="2">
        <v>490</v>
      </c>
      <c r="Z93" s="2">
        <v>3146.88393</v>
      </c>
      <c r="AD93" s="2">
        <v>570</v>
      </c>
      <c r="AE93" s="2">
        <v>19892.483909999999</v>
      </c>
      <c r="AG93" s="2">
        <v>570</v>
      </c>
      <c r="AH93" s="2">
        <v>19106.89345</v>
      </c>
    </row>
    <row r="94" spans="2:34" x14ac:dyDescent="0.2">
      <c r="B94" s="2">
        <v>571</v>
      </c>
      <c r="C94" s="2">
        <v>270.81202999999999</v>
      </c>
      <c r="E94" s="2">
        <v>711</v>
      </c>
      <c r="F94" s="2">
        <v>371.46895999999998</v>
      </c>
      <c r="H94" s="2">
        <v>491</v>
      </c>
      <c r="I94" s="2">
        <v>380.25763999999998</v>
      </c>
      <c r="K94" s="2">
        <v>491</v>
      </c>
      <c r="L94" s="2">
        <v>247.39725999999999</v>
      </c>
      <c r="P94" s="2">
        <v>571</v>
      </c>
      <c r="Q94" s="7">
        <v>24427.356250000001</v>
      </c>
      <c r="S94" s="2">
        <v>491</v>
      </c>
      <c r="T94" s="2">
        <v>255743.34985</v>
      </c>
      <c r="V94" s="2">
        <v>711</v>
      </c>
      <c r="W94" s="2">
        <v>26074.083009999998</v>
      </c>
      <c r="Y94" s="2">
        <v>491</v>
      </c>
      <c r="Z94" s="2">
        <v>3883.4742299999998</v>
      </c>
      <c r="AD94" s="2">
        <v>571</v>
      </c>
      <c r="AE94" s="2">
        <v>18957.01413</v>
      </c>
      <c r="AG94" s="2">
        <v>571</v>
      </c>
      <c r="AH94" s="2">
        <v>18439.532279999999</v>
      </c>
    </row>
    <row r="95" spans="2:34" x14ac:dyDescent="0.2">
      <c r="B95" s="2">
        <v>572</v>
      </c>
      <c r="C95" s="2">
        <v>247.98136</v>
      </c>
      <c r="E95" s="2">
        <v>712</v>
      </c>
      <c r="F95" s="2">
        <v>191.75567000000001</v>
      </c>
      <c r="H95" s="2">
        <v>492</v>
      </c>
      <c r="I95" s="2">
        <v>333.64521999999999</v>
      </c>
      <c r="K95" s="2">
        <v>492</v>
      </c>
      <c r="L95" s="2">
        <v>460.62027</v>
      </c>
      <c r="P95" s="2">
        <v>572</v>
      </c>
      <c r="Q95" s="7">
        <v>23823.247169999999</v>
      </c>
      <c r="S95" s="2">
        <v>492</v>
      </c>
      <c r="T95" s="2">
        <v>253397.22323</v>
      </c>
      <c r="V95" s="2">
        <v>712</v>
      </c>
      <c r="W95" s="2">
        <v>24679.095700000002</v>
      </c>
      <c r="Y95" s="2">
        <v>492</v>
      </c>
      <c r="Z95" s="2">
        <v>3973.4818300000002</v>
      </c>
      <c r="AD95" s="2">
        <v>572</v>
      </c>
      <c r="AE95" s="2">
        <v>18498.90425</v>
      </c>
      <c r="AG95" s="2">
        <v>572</v>
      </c>
      <c r="AH95" s="2">
        <v>17740.258239999999</v>
      </c>
    </row>
    <row r="96" spans="2:34" x14ac:dyDescent="0.2">
      <c r="B96" s="2">
        <v>573</v>
      </c>
      <c r="C96" s="2">
        <v>247.98648</v>
      </c>
      <c r="E96" s="2">
        <v>713</v>
      </c>
      <c r="F96" s="2">
        <v>382.96003000000002</v>
      </c>
      <c r="H96" s="2">
        <v>493</v>
      </c>
      <c r="I96" s="2">
        <v>359.54210999999998</v>
      </c>
      <c r="K96" s="2">
        <v>493</v>
      </c>
      <c r="L96" s="2">
        <v>333.28215999999998</v>
      </c>
      <c r="P96" s="2">
        <v>573</v>
      </c>
      <c r="Q96" s="7">
        <v>22608.879929999999</v>
      </c>
      <c r="S96" s="2">
        <v>493</v>
      </c>
      <c r="T96" s="2">
        <v>249944.96436000001</v>
      </c>
      <c r="V96" s="2">
        <v>713</v>
      </c>
      <c r="W96" s="2">
        <v>24696.19299</v>
      </c>
      <c r="Y96" s="2">
        <v>493</v>
      </c>
      <c r="Z96" s="2">
        <v>4112.75227</v>
      </c>
      <c r="AD96" s="2">
        <v>573</v>
      </c>
      <c r="AE96" s="2">
        <v>17674.49927</v>
      </c>
      <c r="AG96" s="2">
        <v>573</v>
      </c>
      <c r="AH96" s="2">
        <v>16874.62341</v>
      </c>
    </row>
    <row r="97" spans="2:34" x14ac:dyDescent="0.2">
      <c r="B97" s="2">
        <v>574</v>
      </c>
      <c r="C97" s="2">
        <v>187.71929</v>
      </c>
      <c r="E97" s="2">
        <v>714</v>
      </c>
      <c r="F97" s="2">
        <v>245.13057000000001</v>
      </c>
      <c r="H97" s="2">
        <v>494</v>
      </c>
      <c r="I97" s="2">
        <v>359.31657999999999</v>
      </c>
      <c r="K97" s="2">
        <v>494</v>
      </c>
      <c r="L97" s="2">
        <v>380.94612999999998</v>
      </c>
      <c r="P97" s="2">
        <v>574</v>
      </c>
      <c r="Q97" s="7">
        <v>21617.486649999999</v>
      </c>
      <c r="S97" s="2">
        <v>494</v>
      </c>
      <c r="T97" s="2">
        <v>246164.16703000001</v>
      </c>
      <c r="V97" s="2">
        <v>714</v>
      </c>
      <c r="W97" s="2">
        <v>24798.654699999999</v>
      </c>
      <c r="Y97" s="2">
        <v>494</v>
      </c>
      <c r="Z97" s="2">
        <v>4094.02531</v>
      </c>
      <c r="AD97" s="2">
        <v>574</v>
      </c>
      <c r="AE97" s="2">
        <v>16701.843099999998</v>
      </c>
      <c r="AG97" s="2">
        <v>574</v>
      </c>
      <c r="AH97" s="2">
        <v>16474.21874</v>
      </c>
    </row>
    <row r="98" spans="2:34" x14ac:dyDescent="0.2">
      <c r="B98" s="2">
        <v>575</v>
      </c>
      <c r="C98" s="2">
        <v>263.49254000000002</v>
      </c>
      <c r="E98" s="2">
        <v>715</v>
      </c>
      <c r="F98" s="2">
        <v>442.11311999999998</v>
      </c>
      <c r="H98" s="2">
        <v>495</v>
      </c>
      <c r="I98" s="2">
        <v>400.98716000000002</v>
      </c>
      <c r="K98" s="2">
        <v>495</v>
      </c>
      <c r="L98" s="2">
        <v>431.23083000000003</v>
      </c>
      <c r="P98" s="2">
        <v>575</v>
      </c>
      <c r="Q98" s="7">
        <v>21015.969659999999</v>
      </c>
      <c r="S98" s="2">
        <v>495</v>
      </c>
      <c r="T98" s="2">
        <v>239616.09286</v>
      </c>
      <c r="V98" s="2">
        <v>715</v>
      </c>
      <c r="W98" s="2">
        <v>24504.260010000002</v>
      </c>
      <c r="Y98" s="2">
        <v>495</v>
      </c>
      <c r="Z98" s="2">
        <v>4626.5457100000003</v>
      </c>
      <c r="AD98" s="2">
        <v>575</v>
      </c>
      <c r="AE98" s="2">
        <v>16133.89589</v>
      </c>
      <c r="AG98" s="2">
        <v>575</v>
      </c>
      <c r="AH98" s="2">
        <v>15548.21644</v>
      </c>
    </row>
    <row r="99" spans="2:34" x14ac:dyDescent="0.2">
      <c r="B99" s="2">
        <v>576</v>
      </c>
      <c r="C99" s="2">
        <v>190.78806</v>
      </c>
      <c r="E99" s="2">
        <v>716</v>
      </c>
      <c r="F99" s="2">
        <v>510.54378000000003</v>
      </c>
      <c r="H99" s="2">
        <v>496</v>
      </c>
      <c r="I99" s="2">
        <v>386.02105</v>
      </c>
      <c r="K99" s="2">
        <v>496</v>
      </c>
      <c r="L99" s="2">
        <v>400.29917</v>
      </c>
      <c r="P99" s="2">
        <v>576</v>
      </c>
      <c r="Q99" s="7">
        <v>20044.492760000001</v>
      </c>
      <c r="S99" s="2">
        <v>496</v>
      </c>
      <c r="T99" s="2">
        <v>232978.60983</v>
      </c>
      <c r="V99" s="2">
        <v>716</v>
      </c>
      <c r="W99" s="2">
        <v>24027.91617</v>
      </c>
      <c r="Y99" s="2">
        <v>496</v>
      </c>
      <c r="Z99" s="2">
        <v>4396.5072600000003</v>
      </c>
      <c r="AD99" s="2">
        <v>576</v>
      </c>
      <c r="AE99" s="2">
        <v>15713.97579</v>
      </c>
      <c r="AG99" s="2">
        <v>576</v>
      </c>
      <c r="AH99" s="2">
        <v>15143.07058</v>
      </c>
    </row>
    <row r="100" spans="2:34" x14ac:dyDescent="0.2">
      <c r="B100" s="2">
        <v>577</v>
      </c>
      <c r="C100" s="2">
        <v>220.33826999999999</v>
      </c>
      <c r="E100" s="2">
        <v>717</v>
      </c>
      <c r="F100" s="2">
        <v>81.233019999999996</v>
      </c>
      <c r="H100" s="2">
        <v>497</v>
      </c>
      <c r="I100" s="2">
        <v>431.54367000000002</v>
      </c>
      <c r="K100" s="2">
        <v>497</v>
      </c>
      <c r="L100" s="2">
        <v>174.10953000000001</v>
      </c>
      <c r="P100" s="2">
        <v>577</v>
      </c>
      <c r="Q100" s="7">
        <v>19346.93909</v>
      </c>
      <c r="S100" s="2">
        <v>497</v>
      </c>
      <c r="T100" s="2">
        <v>223521.00928999999</v>
      </c>
      <c r="V100" s="2">
        <v>717</v>
      </c>
      <c r="W100" s="2">
        <v>24042.082549999999</v>
      </c>
      <c r="Y100" s="2">
        <v>497</v>
      </c>
      <c r="Z100" s="2">
        <v>5200.6343399999996</v>
      </c>
      <c r="AD100" s="2">
        <v>577</v>
      </c>
      <c r="AE100" s="2">
        <v>15063.03595</v>
      </c>
      <c r="AG100" s="2">
        <v>577</v>
      </c>
      <c r="AH100" s="2">
        <v>14489.93773</v>
      </c>
    </row>
    <row r="101" spans="2:34" x14ac:dyDescent="0.2">
      <c r="B101" s="2">
        <v>578</v>
      </c>
      <c r="C101" s="2">
        <v>192.91820000000001</v>
      </c>
      <c r="E101" s="2">
        <v>718</v>
      </c>
      <c r="F101" s="2">
        <v>120.59688</v>
      </c>
      <c r="H101" s="2">
        <v>498</v>
      </c>
      <c r="I101" s="2">
        <v>354.94056999999998</v>
      </c>
      <c r="K101" s="2">
        <v>498</v>
      </c>
      <c r="L101" s="2">
        <v>259.82387</v>
      </c>
      <c r="P101" s="2">
        <v>578</v>
      </c>
      <c r="Q101" s="7">
        <v>18330.146550000001</v>
      </c>
      <c r="S101" s="2">
        <v>498</v>
      </c>
      <c r="T101" s="2">
        <v>214611.23144</v>
      </c>
      <c r="V101" s="2">
        <v>718</v>
      </c>
      <c r="W101" s="2">
        <v>24739.866279999998</v>
      </c>
      <c r="Y101" s="2">
        <v>498</v>
      </c>
      <c r="Z101" s="2">
        <v>5245.7669500000002</v>
      </c>
      <c r="AD101" s="2">
        <v>578</v>
      </c>
      <c r="AE101" s="2">
        <v>14362.818380000001</v>
      </c>
      <c r="AG101" s="2">
        <v>578</v>
      </c>
      <c r="AH101" s="2">
        <v>13811.99217</v>
      </c>
    </row>
    <row r="102" spans="2:34" x14ac:dyDescent="0.2">
      <c r="B102" s="2">
        <v>579</v>
      </c>
      <c r="C102" s="2">
        <v>192.24699000000001</v>
      </c>
      <c r="E102" s="2">
        <v>719</v>
      </c>
      <c r="F102" s="2">
        <v>380.31137000000001</v>
      </c>
      <c r="H102" s="2">
        <v>499</v>
      </c>
      <c r="I102" s="2">
        <v>430.8347</v>
      </c>
      <c r="K102" s="2">
        <v>499</v>
      </c>
      <c r="L102" s="2">
        <v>205.92604</v>
      </c>
      <c r="P102" s="2">
        <v>579</v>
      </c>
      <c r="Q102" s="7">
        <v>18261.253820000002</v>
      </c>
      <c r="S102" s="2">
        <v>499</v>
      </c>
      <c r="T102" s="2">
        <v>203956.99393999999</v>
      </c>
      <c r="V102" s="2">
        <v>719</v>
      </c>
      <c r="W102" s="2">
        <v>24057.857489999999</v>
      </c>
      <c r="Y102" s="2">
        <v>499</v>
      </c>
      <c r="Z102" s="2">
        <v>5426.7459200000003</v>
      </c>
      <c r="AD102" s="2">
        <v>579</v>
      </c>
      <c r="AE102" s="2">
        <v>13586.172909999999</v>
      </c>
      <c r="AG102" s="2">
        <v>579</v>
      </c>
      <c r="AH102" s="2">
        <v>13360.37779</v>
      </c>
    </row>
    <row r="103" spans="2:34" x14ac:dyDescent="0.2">
      <c r="B103" s="2">
        <v>580</v>
      </c>
      <c r="C103" s="2">
        <v>260.78199000000001</v>
      </c>
      <c r="E103" s="2">
        <v>720</v>
      </c>
      <c r="F103" s="2">
        <v>202.78099</v>
      </c>
      <c r="H103" s="2">
        <v>500</v>
      </c>
      <c r="I103" s="2">
        <v>456.46688</v>
      </c>
      <c r="K103" s="2">
        <v>500</v>
      </c>
      <c r="L103" s="2">
        <v>351.46582000000001</v>
      </c>
      <c r="P103" s="2">
        <v>580</v>
      </c>
      <c r="Q103" s="7">
        <v>17253.948179999999</v>
      </c>
      <c r="S103" s="2">
        <v>500</v>
      </c>
      <c r="T103" s="2">
        <v>191340.4639</v>
      </c>
      <c r="V103" s="2">
        <v>720</v>
      </c>
      <c r="W103" s="2">
        <v>24122.161550000001</v>
      </c>
      <c r="Y103" s="2">
        <v>500</v>
      </c>
      <c r="Z103" s="2">
        <v>5320.8205500000004</v>
      </c>
      <c r="AD103" s="2">
        <v>580</v>
      </c>
      <c r="AE103" s="2">
        <v>13382.596519999999</v>
      </c>
      <c r="AG103" s="2">
        <v>580</v>
      </c>
      <c r="AH103" s="2">
        <v>12636.20336</v>
      </c>
    </row>
    <row r="104" spans="2:34" x14ac:dyDescent="0.2">
      <c r="B104" s="2">
        <v>581</v>
      </c>
      <c r="C104" s="2">
        <v>187.23045999999999</v>
      </c>
      <c r="E104" s="2">
        <v>721</v>
      </c>
      <c r="F104" s="2">
        <v>312.85723000000002</v>
      </c>
      <c r="H104" s="2">
        <v>501</v>
      </c>
      <c r="I104" s="2">
        <v>420.11716000000001</v>
      </c>
      <c r="K104" s="2">
        <v>501</v>
      </c>
      <c r="L104" s="2">
        <v>473.97273000000001</v>
      </c>
      <c r="P104" s="2">
        <v>581</v>
      </c>
      <c r="Q104" s="7">
        <v>16329.57272</v>
      </c>
      <c r="S104" s="2">
        <v>501</v>
      </c>
      <c r="T104" s="2">
        <v>177974.25765000001</v>
      </c>
      <c r="V104" s="2">
        <v>721</v>
      </c>
      <c r="W104" s="2">
        <v>23645.219690000002</v>
      </c>
      <c r="Y104" s="2">
        <v>501</v>
      </c>
      <c r="Z104" s="2">
        <v>5616.7940799999997</v>
      </c>
      <c r="AD104" s="2">
        <v>581</v>
      </c>
      <c r="AE104" s="2">
        <v>12639.73259</v>
      </c>
      <c r="AG104" s="2">
        <v>581</v>
      </c>
      <c r="AH104" s="2">
        <v>12302.76844</v>
      </c>
    </row>
    <row r="105" spans="2:34" x14ac:dyDescent="0.2">
      <c r="B105" s="2">
        <v>582</v>
      </c>
      <c r="C105" s="2">
        <v>224.13102000000001</v>
      </c>
      <c r="E105" s="2">
        <v>722</v>
      </c>
      <c r="F105" s="2">
        <v>277.62511000000001</v>
      </c>
      <c r="H105" s="2">
        <v>502</v>
      </c>
      <c r="I105" s="2">
        <v>528.57171000000005</v>
      </c>
      <c r="K105" s="2">
        <v>502</v>
      </c>
      <c r="L105" s="2">
        <v>496.58240999999998</v>
      </c>
      <c r="P105" s="2">
        <v>582</v>
      </c>
      <c r="Q105" s="7">
        <v>15726.457</v>
      </c>
      <c r="S105" s="2">
        <v>502</v>
      </c>
      <c r="T105" s="2">
        <v>165898.67775</v>
      </c>
      <c r="V105" s="2">
        <v>722</v>
      </c>
      <c r="W105" s="2">
        <v>23428.920679999999</v>
      </c>
      <c r="Y105" s="2">
        <v>502</v>
      </c>
      <c r="Z105" s="2">
        <v>6114.0079900000001</v>
      </c>
      <c r="AD105" s="2">
        <v>582</v>
      </c>
      <c r="AE105" s="2">
        <v>12206.32619</v>
      </c>
      <c r="AG105" s="2">
        <v>582</v>
      </c>
      <c r="AH105" s="2">
        <v>11828.13212</v>
      </c>
    </row>
    <row r="106" spans="2:34" x14ac:dyDescent="0.2">
      <c r="B106" s="2">
        <v>583</v>
      </c>
      <c r="C106" s="2">
        <v>204.29631000000001</v>
      </c>
      <c r="E106" s="2">
        <v>723</v>
      </c>
      <c r="F106" s="2">
        <v>351.16205000000002</v>
      </c>
      <c r="H106" s="2">
        <v>503</v>
      </c>
      <c r="I106" s="2">
        <v>536.40686000000005</v>
      </c>
      <c r="K106" s="2">
        <v>503</v>
      </c>
      <c r="L106" s="2">
        <v>368.11178999999998</v>
      </c>
      <c r="P106" s="2">
        <v>583</v>
      </c>
      <c r="Q106" s="7">
        <v>15116.244570000001</v>
      </c>
      <c r="S106" s="2">
        <v>503</v>
      </c>
      <c r="T106" s="2">
        <v>151441.92898999999</v>
      </c>
      <c r="V106" s="2">
        <v>723</v>
      </c>
      <c r="W106" s="2">
        <v>22124.755570000001</v>
      </c>
      <c r="Y106" s="2">
        <v>503</v>
      </c>
      <c r="Z106" s="2">
        <v>6407.7823900000003</v>
      </c>
      <c r="AD106" s="2">
        <v>583</v>
      </c>
      <c r="AE106" s="2">
        <v>11741.743829999999</v>
      </c>
      <c r="AG106" s="2">
        <v>583</v>
      </c>
      <c r="AH106" s="2">
        <v>11290.00755</v>
      </c>
    </row>
    <row r="107" spans="2:34" x14ac:dyDescent="0.2">
      <c r="B107" s="2">
        <v>584</v>
      </c>
      <c r="C107" s="2">
        <v>210.69488999999999</v>
      </c>
      <c r="E107" s="2">
        <v>724</v>
      </c>
      <c r="F107" s="2">
        <v>300.46753999999999</v>
      </c>
      <c r="H107" s="2">
        <v>504</v>
      </c>
      <c r="I107" s="2">
        <v>629.72457999999995</v>
      </c>
      <c r="K107" s="2">
        <v>504</v>
      </c>
      <c r="L107" s="2">
        <v>277.25358999999997</v>
      </c>
      <c r="P107" s="2">
        <v>584</v>
      </c>
      <c r="Q107" s="7">
        <v>14592.01259</v>
      </c>
      <c r="S107" s="2">
        <v>504</v>
      </c>
      <c r="T107" s="2">
        <v>139133.42189</v>
      </c>
      <c r="V107" s="2">
        <v>724</v>
      </c>
      <c r="W107" s="2">
        <v>21917.982769999999</v>
      </c>
      <c r="Y107" s="2">
        <v>504</v>
      </c>
      <c r="Z107" s="2">
        <v>6915.9099900000001</v>
      </c>
      <c r="AD107" s="2">
        <v>584</v>
      </c>
      <c r="AE107" s="2">
        <v>11407.11939</v>
      </c>
      <c r="AG107" s="2">
        <v>584</v>
      </c>
      <c r="AH107" s="2">
        <v>10871.39229</v>
      </c>
    </row>
    <row r="108" spans="2:34" x14ac:dyDescent="0.2">
      <c r="B108" s="2">
        <v>585</v>
      </c>
      <c r="C108" s="2">
        <v>197.70024000000001</v>
      </c>
      <c r="E108" s="2">
        <v>725</v>
      </c>
      <c r="F108" s="2">
        <v>134.58553000000001</v>
      </c>
      <c r="H108" s="2">
        <v>505</v>
      </c>
      <c r="I108" s="2">
        <v>747.82974000000002</v>
      </c>
      <c r="K108" s="2">
        <v>505</v>
      </c>
      <c r="L108" s="2">
        <v>67.927419999999998</v>
      </c>
      <c r="P108" s="2">
        <v>585</v>
      </c>
      <c r="Q108" s="7">
        <v>14243.387339999999</v>
      </c>
      <c r="S108" s="2">
        <v>505</v>
      </c>
      <c r="T108" s="2">
        <v>125073.89616</v>
      </c>
      <c r="V108" s="2">
        <v>725</v>
      </c>
      <c r="W108" s="2">
        <v>22652.333709999999</v>
      </c>
      <c r="Y108" s="2">
        <v>505</v>
      </c>
      <c r="Z108" s="2">
        <v>6822.1980700000004</v>
      </c>
      <c r="AD108" s="2">
        <v>585</v>
      </c>
      <c r="AE108" s="2">
        <v>10700.871789999999</v>
      </c>
      <c r="AG108" s="2">
        <v>585</v>
      </c>
      <c r="AH108" s="2">
        <v>10551.479810000001</v>
      </c>
    </row>
    <row r="109" spans="2:34" x14ac:dyDescent="0.2">
      <c r="B109" s="2">
        <v>586</v>
      </c>
      <c r="C109" s="2">
        <v>202.13849999999999</v>
      </c>
      <c r="E109" s="2">
        <v>726</v>
      </c>
      <c r="F109" s="2">
        <v>281.14109000000002</v>
      </c>
      <c r="H109" s="2">
        <v>506</v>
      </c>
      <c r="I109" s="2">
        <v>882.42809999999997</v>
      </c>
      <c r="K109" s="2">
        <v>506</v>
      </c>
      <c r="L109" s="2">
        <v>342.04293999999999</v>
      </c>
      <c r="P109" s="2">
        <v>586</v>
      </c>
      <c r="Q109" s="7">
        <v>13672.69586</v>
      </c>
      <c r="S109" s="2">
        <v>506</v>
      </c>
      <c r="T109" s="2">
        <v>113302.65568</v>
      </c>
      <c r="V109" s="2">
        <v>726</v>
      </c>
      <c r="W109" s="2">
        <v>23193.059939999999</v>
      </c>
      <c r="Y109" s="2">
        <v>506</v>
      </c>
      <c r="Z109" s="2">
        <v>7157.7933700000003</v>
      </c>
      <c r="AD109" s="2">
        <v>586</v>
      </c>
      <c r="AE109" s="2">
        <v>10278.90681</v>
      </c>
      <c r="AG109" s="2">
        <v>586</v>
      </c>
      <c r="AH109" s="2">
        <v>10131.702079999999</v>
      </c>
    </row>
    <row r="110" spans="2:34" x14ac:dyDescent="0.2">
      <c r="B110" s="2">
        <v>587</v>
      </c>
      <c r="C110" s="2">
        <v>243.42935</v>
      </c>
      <c r="E110" s="2">
        <v>727</v>
      </c>
      <c r="F110" s="2">
        <v>109.99691</v>
      </c>
      <c r="H110" s="2">
        <v>507</v>
      </c>
      <c r="I110" s="2">
        <v>931.52856999999995</v>
      </c>
      <c r="K110" s="2">
        <v>507</v>
      </c>
      <c r="L110" s="2">
        <v>60.448079999999997</v>
      </c>
      <c r="P110" s="2">
        <v>587</v>
      </c>
      <c r="Q110" s="7">
        <v>13067.080840000001</v>
      </c>
      <c r="S110" s="2">
        <v>507</v>
      </c>
      <c r="T110" s="2">
        <v>99812.379509999999</v>
      </c>
      <c r="V110" s="2">
        <v>727</v>
      </c>
      <c r="W110" s="2">
        <v>21743.052090000001</v>
      </c>
      <c r="Y110" s="2">
        <v>507</v>
      </c>
      <c r="Z110" s="2">
        <v>7423.2498699999996</v>
      </c>
      <c r="AD110" s="2">
        <v>587</v>
      </c>
      <c r="AE110" s="2">
        <v>10070.22286</v>
      </c>
      <c r="AG110" s="2">
        <v>587</v>
      </c>
      <c r="AH110" s="2">
        <v>9667.0154199999997</v>
      </c>
    </row>
    <row r="111" spans="2:34" x14ac:dyDescent="0.2">
      <c r="B111" s="2">
        <v>588</v>
      </c>
      <c r="C111" s="2">
        <v>235.24942999999999</v>
      </c>
      <c r="E111" s="2">
        <v>728</v>
      </c>
      <c r="F111" s="2">
        <v>424.50362000000001</v>
      </c>
      <c r="H111" s="2">
        <v>508</v>
      </c>
      <c r="I111" s="2">
        <v>1117.0607199999999</v>
      </c>
      <c r="K111" s="2">
        <v>508</v>
      </c>
      <c r="L111" s="2">
        <v>154.98856000000001</v>
      </c>
      <c r="P111" s="2">
        <v>588</v>
      </c>
      <c r="Q111" s="7">
        <v>12485.446529999999</v>
      </c>
      <c r="S111" s="2">
        <v>508</v>
      </c>
      <c r="T111" s="2">
        <v>89309.047470000005</v>
      </c>
      <c r="V111" s="2">
        <v>728</v>
      </c>
      <c r="W111" s="2">
        <v>20766.975020000002</v>
      </c>
      <c r="Y111" s="2">
        <v>508</v>
      </c>
      <c r="Z111" s="2">
        <v>7483.0393299999996</v>
      </c>
      <c r="AD111" s="2">
        <v>588</v>
      </c>
      <c r="AE111" s="2">
        <v>9537.0984399999998</v>
      </c>
      <c r="AG111" s="2">
        <v>588</v>
      </c>
      <c r="AH111" s="2">
        <v>9397.1326800000006</v>
      </c>
    </row>
    <row r="112" spans="2:34" x14ac:dyDescent="0.2">
      <c r="B112" s="2">
        <v>589</v>
      </c>
      <c r="C112" s="2">
        <v>168.85735</v>
      </c>
      <c r="E112" s="2">
        <v>729</v>
      </c>
      <c r="F112" s="2">
        <v>128.34093999999999</v>
      </c>
      <c r="H112" s="2">
        <v>509</v>
      </c>
      <c r="I112" s="2">
        <v>1405.82312</v>
      </c>
      <c r="K112" s="2">
        <v>509</v>
      </c>
      <c r="L112" s="2">
        <v>210.16535999999999</v>
      </c>
      <c r="P112" s="2">
        <v>589</v>
      </c>
      <c r="Q112" s="7">
        <v>12135.604310000001</v>
      </c>
      <c r="S112" s="2">
        <v>509</v>
      </c>
      <c r="T112" s="2">
        <v>79306.140589999995</v>
      </c>
      <c r="V112" s="2">
        <v>729</v>
      </c>
      <c r="W112" s="2">
        <v>21931.456989999999</v>
      </c>
      <c r="Y112" s="2">
        <v>509</v>
      </c>
      <c r="Z112" s="2">
        <v>8529.9077300000008</v>
      </c>
      <c r="AD112" s="2">
        <v>589</v>
      </c>
      <c r="AE112" s="2">
        <v>9196.0261800000007</v>
      </c>
      <c r="AG112" s="2">
        <v>589</v>
      </c>
      <c r="AH112" s="2">
        <v>8784.4307800000006</v>
      </c>
    </row>
    <row r="113" spans="2:34" x14ac:dyDescent="0.2">
      <c r="B113" s="2">
        <v>590</v>
      </c>
      <c r="C113" s="2">
        <v>179.01693</v>
      </c>
      <c r="E113" s="2">
        <v>730</v>
      </c>
      <c r="F113" s="2">
        <v>115.07463</v>
      </c>
      <c r="H113" s="2">
        <v>510</v>
      </c>
      <c r="I113" s="2">
        <v>1840.9277</v>
      </c>
      <c r="K113" s="2">
        <v>510</v>
      </c>
      <c r="L113" s="2">
        <v>359.38751000000002</v>
      </c>
      <c r="P113" s="2">
        <v>590</v>
      </c>
      <c r="Q113" s="7">
        <v>11487.038790000001</v>
      </c>
      <c r="S113" s="2">
        <v>510</v>
      </c>
      <c r="T113" s="2">
        <v>68602.565050000005</v>
      </c>
      <c r="V113" s="2">
        <v>730</v>
      </c>
      <c r="W113" s="2">
        <v>21269.186180000001</v>
      </c>
      <c r="Y113" s="2">
        <v>510</v>
      </c>
      <c r="Z113" s="2">
        <v>8432.4402300000002</v>
      </c>
      <c r="AD113" s="2">
        <v>590</v>
      </c>
      <c r="AE113" s="2">
        <v>8739.1787899999999</v>
      </c>
      <c r="AG113" s="2">
        <v>590</v>
      </c>
      <c r="AH113" s="2">
        <v>8444.5208500000008</v>
      </c>
    </row>
    <row r="114" spans="2:34" x14ac:dyDescent="0.2">
      <c r="B114" s="2">
        <v>591</v>
      </c>
      <c r="C114" s="2">
        <v>216.13719</v>
      </c>
      <c r="E114" s="2">
        <v>731</v>
      </c>
      <c r="F114" s="2">
        <v>148.19007999999999</v>
      </c>
      <c r="K114" s="2">
        <v>511</v>
      </c>
      <c r="L114" s="2">
        <v>249.20428999999999</v>
      </c>
      <c r="P114" s="2">
        <v>591</v>
      </c>
      <c r="Q114" s="7">
        <v>11509.746160000001</v>
      </c>
      <c r="V114" s="2">
        <v>731</v>
      </c>
      <c r="W114" s="2">
        <v>20398.837039999999</v>
      </c>
      <c r="Y114" s="2">
        <v>511</v>
      </c>
      <c r="Z114" s="2">
        <v>8350.9218600000004</v>
      </c>
      <c r="AD114" s="2">
        <v>591</v>
      </c>
      <c r="AE114" s="2">
        <v>8540.8944200000005</v>
      </c>
      <c r="AG114" s="2">
        <v>591</v>
      </c>
      <c r="AH114" s="2">
        <v>8316.4226500000004</v>
      </c>
    </row>
    <row r="115" spans="2:34" x14ac:dyDescent="0.2">
      <c r="B115" s="2">
        <v>592</v>
      </c>
      <c r="C115" s="2">
        <v>186.29817</v>
      </c>
      <c r="E115" s="2">
        <v>732</v>
      </c>
      <c r="F115" s="2">
        <v>71.329790000000003</v>
      </c>
      <c r="K115" s="2">
        <v>512</v>
      </c>
      <c r="L115" s="2">
        <v>383.18227999999999</v>
      </c>
      <c r="P115" s="2">
        <v>592</v>
      </c>
      <c r="Q115" s="7">
        <v>10851.29428</v>
      </c>
      <c r="V115" s="2">
        <v>732</v>
      </c>
      <c r="W115" s="2">
        <v>19567.73933</v>
      </c>
      <c r="Y115" s="2">
        <v>512</v>
      </c>
      <c r="Z115" s="2">
        <v>9093.5729599999995</v>
      </c>
      <c r="AD115" s="2">
        <v>592</v>
      </c>
      <c r="AE115" s="2">
        <v>8101.1604799999996</v>
      </c>
      <c r="AG115" s="2">
        <v>592</v>
      </c>
      <c r="AH115" s="2">
        <v>7856.5765700000002</v>
      </c>
    </row>
    <row r="116" spans="2:34" x14ac:dyDescent="0.2">
      <c r="B116" s="2">
        <v>593</v>
      </c>
      <c r="C116" s="2">
        <v>241.16756000000001</v>
      </c>
      <c r="E116" s="2">
        <v>733</v>
      </c>
      <c r="F116" s="2">
        <v>346.55732999999998</v>
      </c>
      <c r="K116" s="2">
        <v>513</v>
      </c>
      <c r="L116" s="2">
        <v>210.9134</v>
      </c>
      <c r="P116" s="2">
        <v>593</v>
      </c>
      <c r="Q116" s="7">
        <v>10482.59253</v>
      </c>
      <c r="V116" s="2">
        <v>733</v>
      </c>
      <c r="W116" s="2">
        <v>19804.68345</v>
      </c>
      <c r="Y116" s="2">
        <v>513</v>
      </c>
      <c r="Z116" s="2">
        <v>8918.0604199999998</v>
      </c>
      <c r="AD116" s="2">
        <v>593</v>
      </c>
      <c r="AE116" s="2">
        <v>7974.9329600000001</v>
      </c>
      <c r="AG116" s="2">
        <v>593</v>
      </c>
      <c r="AH116" s="2">
        <v>7721.0091199999997</v>
      </c>
    </row>
    <row r="117" spans="2:34" x14ac:dyDescent="0.2">
      <c r="B117" s="2">
        <v>594</v>
      </c>
      <c r="C117" s="2">
        <v>203.01042000000001</v>
      </c>
      <c r="E117" s="2">
        <v>734</v>
      </c>
      <c r="F117" s="2">
        <v>385.00261</v>
      </c>
      <c r="K117" s="2">
        <v>514</v>
      </c>
      <c r="L117" s="2">
        <v>425.62885</v>
      </c>
      <c r="P117" s="2">
        <v>594</v>
      </c>
      <c r="Q117" s="7">
        <v>10023.229869999999</v>
      </c>
      <c r="V117" s="2">
        <v>734</v>
      </c>
      <c r="W117" s="2">
        <v>18991.750739999999</v>
      </c>
      <c r="Y117" s="2">
        <v>514</v>
      </c>
      <c r="Z117" s="2">
        <v>9862.5589999999993</v>
      </c>
      <c r="AD117" s="2">
        <v>594</v>
      </c>
      <c r="AE117" s="2">
        <v>7466.2277899999999</v>
      </c>
      <c r="AG117" s="2">
        <v>594</v>
      </c>
      <c r="AH117" s="2">
        <v>7333.4975700000005</v>
      </c>
    </row>
    <row r="118" spans="2:34" x14ac:dyDescent="0.2">
      <c r="B118" s="2">
        <v>595</v>
      </c>
      <c r="C118" s="2">
        <v>219.38086000000001</v>
      </c>
      <c r="E118" s="2">
        <v>735</v>
      </c>
      <c r="F118" s="2">
        <v>224.75191000000001</v>
      </c>
      <c r="K118" s="2">
        <v>515</v>
      </c>
      <c r="L118" s="2">
        <v>339.92590999999999</v>
      </c>
      <c r="P118" s="2">
        <v>595</v>
      </c>
      <c r="Q118" s="7">
        <v>9571.66237</v>
      </c>
      <c r="V118" s="2">
        <v>735</v>
      </c>
      <c r="W118" s="2">
        <v>17591.088309999999</v>
      </c>
      <c r="Y118" s="2">
        <v>515</v>
      </c>
      <c r="Z118" s="2">
        <v>10145.062</v>
      </c>
      <c r="AD118" s="2">
        <v>595</v>
      </c>
      <c r="AE118" s="2">
        <v>7360.8111099999996</v>
      </c>
      <c r="AG118" s="2">
        <v>595</v>
      </c>
      <c r="AH118" s="2">
        <v>7141.7741500000002</v>
      </c>
    </row>
    <row r="119" spans="2:34" x14ac:dyDescent="0.2">
      <c r="B119" s="2">
        <v>596</v>
      </c>
      <c r="C119" s="2">
        <v>208.84683000000001</v>
      </c>
      <c r="E119" s="2">
        <v>736</v>
      </c>
      <c r="F119" s="2">
        <v>76.22457</v>
      </c>
      <c r="K119" s="2">
        <v>516</v>
      </c>
      <c r="L119" s="2">
        <v>197.21356</v>
      </c>
      <c r="P119" s="2">
        <v>596</v>
      </c>
      <c r="Q119" s="7">
        <v>9362.6538700000001</v>
      </c>
      <c r="V119" s="2">
        <v>736</v>
      </c>
      <c r="W119" s="2">
        <v>16932.70866</v>
      </c>
      <c r="Y119" s="2">
        <v>516</v>
      </c>
      <c r="Z119" s="2">
        <v>10870.744140000001</v>
      </c>
      <c r="AD119" s="2">
        <v>596</v>
      </c>
      <c r="AE119" s="2">
        <v>7249.4618600000003</v>
      </c>
      <c r="AG119" s="2">
        <v>596</v>
      </c>
      <c r="AH119" s="2">
        <v>6914.8172400000003</v>
      </c>
    </row>
    <row r="120" spans="2:34" x14ac:dyDescent="0.2">
      <c r="B120" s="2">
        <v>597</v>
      </c>
      <c r="C120" s="2">
        <v>224.28390999999999</v>
      </c>
      <c r="E120" s="2">
        <v>737</v>
      </c>
      <c r="F120" s="2">
        <v>301.45512000000002</v>
      </c>
      <c r="K120" s="2">
        <v>517</v>
      </c>
      <c r="L120" s="2">
        <v>558.15800999999999</v>
      </c>
      <c r="P120" s="2">
        <v>597</v>
      </c>
      <c r="Q120" s="7">
        <v>8829.5381600000001</v>
      </c>
      <c r="V120" s="2">
        <v>737</v>
      </c>
      <c r="W120" s="2">
        <v>16785.09462</v>
      </c>
      <c r="Y120" s="2">
        <v>517</v>
      </c>
      <c r="Z120" s="2">
        <v>11084.84151</v>
      </c>
      <c r="AD120" s="2">
        <v>597</v>
      </c>
      <c r="AE120" s="2">
        <v>6761.7477099999996</v>
      </c>
      <c r="AG120" s="2">
        <v>597</v>
      </c>
      <c r="AH120" s="2">
        <v>6603.07258</v>
      </c>
    </row>
    <row r="121" spans="2:34" x14ac:dyDescent="0.2">
      <c r="B121" s="2">
        <v>598</v>
      </c>
      <c r="C121" s="2">
        <v>202.69963999999999</v>
      </c>
      <c r="E121" s="2">
        <v>738</v>
      </c>
      <c r="F121" s="2">
        <v>323.54820000000001</v>
      </c>
      <c r="K121" s="2">
        <v>518</v>
      </c>
      <c r="L121" s="2">
        <v>262.29282000000001</v>
      </c>
      <c r="P121" s="2">
        <v>598</v>
      </c>
      <c r="Q121" s="7">
        <v>8746.51829</v>
      </c>
      <c r="V121" s="2">
        <v>738</v>
      </c>
      <c r="W121" s="2">
        <v>16768.90309</v>
      </c>
      <c r="Y121" s="2">
        <v>518</v>
      </c>
      <c r="Z121" s="2">
        <v>11082.586020000001</v>
      </c>
      <c r="AD121" s="2">
        <v>598</v>
      </c>
      <c r="AE121" s="2">
        <v>6616.4179400000003</v>
      </c>
      <c r="AG121" s="2">
        <v>598</v>
      </c>
      <c r="AH121" s="2">
        <v>6614.63364</v>
      </c>
    </row>
    <row r="122" spans="2:34" x14ac:dyDescent="0.2">
      <c r="B122" s="2">
        <v>599</v>
      </c>
      <c r="C122" s="2">
        <v>165.17740000000001</v>
      </c>
      <c r="E122" s="2">
        <v>739</v>
      </c>
      <c r="F122" s="2">
        <v>363.60565000000003</v>
      </c>
      <c r="K122" s="2">
        <v>519</v>
      </c>
      <c r="L122" s="2">
        <v>327.46647999999999</v>
      </c>
      <c r="P122" s="2">
        <v>599</v>
      </c>
      <c r="Q122" s="7">
        <v>8101.3584600000004</v>
      </c>
      <c r="V122" s="2">
        <v>739</v>
      </c>
      <c r="W122" s="2">
        <v>16124.95981</v>
      </c>
      <c r="Y122" s="2">
        <v>519</v>
      </c>
      <c r="Z122" s="2">
        <v>11772.14531</v>
      </c>
      <c r="AD122" s="2">
        <v>599</v>
      </c>
      <c r="AE122" s="2">
        <v>6587.7898699999996</v>
      </c>
      <c r="AG122" s="2">
        <v>599</v>
      </c>
      <c r="AH122" s="2">
        <v>6243.9588100000001</v>
      </c>
    </row>
    <row r="123" spans="2:34" x14ac:dyDescent="0.2">
      <c r="B123" s="2">
        <v>600</v>
      </c>
      <c r="C123" s="2">
        <v>189.24034</v>
      </c>
      <c r="E123" s="2">
        <v>740</v>
      </c>
      <c r="F123" s="2">
        <v>693.60862999999995</v>
      </c>
      <c r="K123" s="2">
        <v>520</v>
      </c>
      <c r="L123" s="2">
        <v>296.22172999999998</v>
      </c>
      <c r="P123" s="2">
        <v>600</v>
      </c>
      <c r="Q123" s="7">
        <v>7916.43923</v>
      </c>
      <c r="V123" s="2">
        <v>740</v>
      </c>
      <c r="W123" s="2">
        <v>16441.411950000002</v>
      </c>
      <c r="Y123" s="2">
        <v>520</v>
      </c>
      <c r="Z123" s="2">
        <v>12233.640530000001</v>
      </c>
      <c r="AD123" s="2">
        <v>600</v>
      </c>
      <c r="AE123" s="2">
        <v>6285.8959800000002</v>
      </c>
      <c r="AG123" s="2">
        <v>600</v>
      </c>
      <c r="AH123" s="2">
        <v>6008.9378800000004</v>
      </c>
    </row>
    <row r="124" spans="2:34" x14ac:dyDescent="0.2">
      <c r="B124" s="2">
        <v>601</v>
      </c>
      <c r="C124" s="2">
        <v>151.00659999999999</v>
      </c>
      <c r="E124" s="2">
        <v>741</v>
      </c>
      <c r="F124" s="2">
        <v>-27.426130000000001</v>
      </c>
      <c r="K124" s="2">
        <v>521</v>
      </c>
      <c r="L124" s="2">
        <v>313.17671000000001</v>
      </c>
      <c r="P124" s="2">
        <v>601</v>
      </c>
      <c r="Q124" s="7">
        <v>7770.4117699999997</v>
      </c>
      <c r="V124" s="2">
        <v>741</v>
      </c>
      <c r="W124" s="2">
        <v>15718.48114</v>
      </c>
      <c r="Y124" s="2">
        <v>521</v>
      </c>
      <c r="Z124" s="2">
        <v>12158.18619</v>
      </c>
      <c r="AD124" s="2">
        <v>601</v>
      </c>
      <c r="AE124" s="2">
        <v>5995.2400100000004</v>
      </c>
      <c r="AG124" s="2">
        <v>601</v>
      </c>
      <c r="AH124" s="2">
        <v>5819.89617</v>
      </c>
    </row>
    <row r="125" spans="2:34" x14ac:dyDescent="0.2">
      <c r="B125" s="2">
        <v>602</v>
      </c>
      <c r="C125" s="2">
        <v>210.35972000000001</v>
      </c>
      <c r="E125" s="2">
        <v>742</v>
      </c>
      <c r="F125" s="2">
        <v>83.389589999999998</v>
      </c>
      <c r="K125" s="2">
        <v>522</v>
      </c>
      <c r="L125" s="2">
        <v>257.67295999999999</v>
      </c>
      <c r="P125" s="2">
        <v>602</v>
      </c>
      <c r="Q125" s="7">
        <v>7525.0160900000001</v>
      </c>
      <c r="V125" s="2">
        <v>742</v>
      </c>
      <c r="W125" s="2">
        <v>14314.44198</v>
      </c>
      <c r="Y125" s="2">
        <v>522</v>
      </c>
      <c r="Z125" s="2">
        <v>13348.69785</v>
      </c>
      <c r="AD125" s="2">
        <v>602</v>
      </c>
      <c r="AE125" s="2">
        <v>5706.4276300000001</v>
      </c>
      <c r="AG125" s="2">
        <v>602</v>
      </c>
      <c r="AH125" s="2">
        <v>5540.6978499999996</v>
      </c>
    </row>
    <row r="126" spans="2:34" x14ac:dyDescent="0.2">
      <c r="B126" s="2">
        <v>603</v>
      </c>
      <c r="C126" s="2">
        <v>199.13603000000001</v>
      </c>
      <c r="E126" s="2">
        <v>743</v>
      </c>
      <c r="F126" s="2">
        <v>366.1515</v>
      </c>
      <c r="K126" s="2">
        <v>523</v>
      </c>
      <c r="L126" s="2">
        <v>87.240560000000002</v>
      </c>
      <c r="P126" s="2">
        <v>603</v>
      </c>
      <c r="Q126" s="7">
        <v>7478.5663299999997</v>
      </c>
      <c r="V126" s="2">
        <v>743</v>
      </c>
      <c r="W126" s="2">
        <v>14505.574140000001</v>
      </c>
      <c r="Y126" s="2">
        <v>523</v>
      </c>
      <c r="Z126" s="2">
        <v>13897.20739</v>
      </c>
      <c r="AD126" s="2">
        <v>603</v>
      </c>
      <c r="AE126" s="2">
        <v>5807.9865900000004</v>
      </c>
      <c r="AG126" s="2">
        <v>603</v>
      </c>
      <c r="AH126" s="2">
        <v>5601.7485200000001</v>
      </c>
    </row>
    <row r="127" spans="2:34" x14ac:dyDescent="0.2">
      <c r="B127" s="2">
        <v>604</v>
      </c>
      <c r="C127" s="2">
        <v>233.52793</v>
      </c>
      <c r="E127" s="2">
        <v>744</v>
      </c>
      <c r="F127" s="2">
        <v>66.640739999999994</v>
      </c>
      <c r="K127" s="2">
        <v>524</v>
      </c>
      <c r="L127" s="2">
        <v>267.38202000000001</v>
      </c>
      <c r="P127" s="2">
        <v>604</v>
      </c>
      <c r="Q127" s="7">
        <v>7069.2544200000002</v>
      </c>
      <c r="V127" s="2">
        <v>744</v>
      </c>
      <c r="W127" s="2">
        <v>12901.25193</v>
      </c>
      <c r="Y127" s="2">
        <v>524</v>
      </c>
      <c r="Z127" s="2">
        <v>14241.0545</v>
      </c>
      <c r="AD127" s="2">
        <v>604</v>
      </c>
      <c r="AE127" s="2">
        <v>5422.9029300000002</v>
      </c>
      <c r="AG127" s="2">
        <v>604</v>
      </c>
      <c r="AH127" s="2">
        <v>5168.4490500000002</v>
      </c>
    </row>
    <row r="128" spans="2:34" x14ac:dyDescent="0.2">
      <c r="B128" s="2">
        <v>605</v>
      </c>
      <c r="C128" s="2">
        <v>198.22373999999999</v>
      </c>
      <c r="E128" s="2">
        <v>745</v>
      </c>
      <c r="F128" s="2">
        <v>144.67471</v>
      </c>
      <c r="K128" s="2">
        <v>525</v>
      </c>
      <c r="L128" s="2">
        <v>63.17324</v>
      </c>
      <c r="P128" s="2">
        <v>605</v>
      </c>
      <c r="Q128" s="7">
        <v>6691.0085600000002</v>
      </c>
      <c r="V128" s="2">
        <v>745</v>
      </c>
      <c r="W128" s="2">
        <v>12745.70198</v>
      </c>
      <c r="Y128" s="2">
        <v>525</v>
      </c>
      <c r="Z128" s="2">
        <v>15420.403749999999</v>
      </c>
      <c r="AD128" s="2">
        <v>605</v>
      </c>
      <c r="AE128" s="2">
        <v>5389.4947000000002</v>
      </c>
      <c r="AG128" s="2">
        <v>605</v>
      </c>
      <c r="AH128" s="2">
        <v>4984.5861500000001</v>
      </c>
    </row>
    <row r="129" spans="2:34" x14ac:dyDescent="0.2">
      <c r="B129" s="2">
        <v>606</v>
      </c>
      <c r="C129" s="2">
        <v>189.96191999999999</v>
      </c>
      <c r="E129" s="2">
        <v>746</v>
      </c>
      <c r="F129" s="2">
        <v>537.91597000000002</v>
      </c>
      <c r="K129" s="2">
        <v>526</v>
      </c>
      <c r="L129" s="2">
        <v>87.843329999999995</v>
      </c>
      <c r="P129" s="2">
        <v>606</v>
      </c>
      <c r="Q129" s="7">
        <v>6444.9882900000002</v>
      </c>
      <c r="V129" s="2">
        <v>746</v>
      </c>
      <c r="W129" s="2">
        <v>11562.48451</v>
      </c>
      <c r="Y129" s="2">
        <v>526</v>
      </c>
      <c r="Z129" s="2">
        <v>15821.37074</v>
      </c>
      <c r="AD129" s="2">
        <v>606</v>
      </c>
      <c r="AE129" s="2">
        <v>5075.0795200000002</v>
      </c>
      <c r="AG129" s="2">
        <v>606</v>
      </c>
      <c r="AH129" s="2">
        <v>5122.7026999999998</v>
      </c>
    </row>
    <row r="130" spans="2:34" x14ac:dyDescent="0.2">
      <c r="B130" s="2">
        <v>607</v>
      </c>
      <c r="C130" s="2">
        <v>194.85523000000001</v>
      </c>
      <c r="E130" s="2">
        <v>747</v>
      </c>
      <c r="F130" s="2">
        <v>168.83661000000001</v>
      </c>
      <c r="K130" s="2">
        <v>527</v>
      </c>
      <c r="L130" s="2">
        <v>310.89328999999998</v>
      </c>
      <c r="P130" s="2">
        <v>607</v>
      </c>
      <c r="Q130" s="7">
        <v>6352.67353</v>
      </c>
      <c r="V130" s="2">
        <v>747</v>
      </c>
      <c r="W130" s="2">
        <v>13270.938</v>
      </c>
      <c r="Y130" s="2">
        <v>527</v>
      </c>
      <c r="Z130" s="2">
        <v>15741.55191</v>
      </c>
      <c r="AD130" s="2">
        <v>607</v>
      </c>
      <c r="AE130" s="2">
        <v>4889.0169299999998</v>
      </c>
      <c r="AG130" s="2">
        <v>607</v>
      </c>
      <c r="AH130" s="2">
        <v>4763.1732199999997</v>
      </c>
    </row>
    <row r="131" spans="2:34" x14ac:dyDescent="0.2">
      <c r="B131" s="2">
        <v>608</v>
      </c>
      <c r="C131" s="2">
        <v>190.63184999999999</v>
      </c>
      <c r="E131" s="2">
        <v>748</v>
      </c>
      <c r="F131" s="2">
        <v>452.02055000000001</v>
      </c>
      <c r="K131" s="2">
        <v>528</v>
      </c>
      <c r="L131" s="2">
        <v>303.79451</v>
      </c>
      <c r="P131" s="2">
        <v>608</v>
      </c>
      <c r="Q131" s="7">
        <v>6160.6493</v>
      </c>
      <c r="V131" s="2">
        <v>748</v>
      </c>
      <c r="W131" s="2">
        <v>10585.99619</v>
      </c>
      <c r="Y131" s="2">
        <v>528</v>
      </c>
      <c r="Z131" s="2">
        <v>16544.413779999999</v>
      </c>
      <c r="AD131" s="2">
        <v>608</v>
      </c>
      <c r="AE131" s="2">
        <v>4802.8798200000001</v>
      </c>
      <c r="AG131" s="2">
        <v>608</v>
      </c>
      <c r="AH131" s="2">
        <v>4593.9116000000004</v>
      </c>
    </row>
    <row r="132" spans="2:34" x14ac:dyDescent="0.2">
      <c r="B132" s="2">
        <v>609</v>
      </c>
      <c r="C132" s="2">
        <v>184.78818999999999</v>
      </c>
      <c r="E132" s="2">
        <v>749</v>
      </c>
      <c r="F132" s="2">
        <v>-91.724469999999997</v>
      </c>
      <c r="K132" s="2">
        <v>529</v>
      </c>
      <c r="L132" s="2">
        <v>88.856999999999999</v>
      </c>
      <c r="P132" s="2">
        <v>609</v>
      </c>
      <c r="Q132" s="7">
        <v>5836.5546999999997</v>
      </c>
      <c r="V132" s="2">
        <v>749</v>
      </c>
      <c r="W132" s="2">
        <v>11316.42714</v>
      </c>
      <c r="Y132" s="2">
        <v>529</v>
      </c>
      <c r="Z132" s="2">
        <v>18945.782329999998</v>
      </c>
      <c r="AD132" s="2">
        <v>609</v>
      </c>
      <c r="AE132" s="2">
        <v>4543.4026999999996</v>
      </c>
      <c r="AG132" s="2">
        <v>609</v>
      </c>
      <c r="AH132" s="2">
        <v>4383.88436</v>
      </c>
    </row>
    <row r="133" spans="2:34" x14ac:dyDescent="0.2">
      <c r="B133" s="2">
        <v>610</v>
      </c>
      <c r="C133" s="2">
        <v>178.86653000000001</v>
      </c>
      <c r="E133" s="2">
        <v>750</v>
      </c>
      <c r="F133" s="2">
        <v>485.62527999999998</v>
      </c>
      <c r="K133" s="2">
        <v>530</v>
      </c>
      <c r="L133" s="2">
        <v>105.70332999999999</v>
      </c>
      <c r="P133" s="2">
        <v>610</v>
      </c>
      <c r="Q133" s="7">
        <v>5691.4920499999998</v>
      </c>
      <c r="V133" s="2">
        <v>750</v>
      </c>
      <c r="W133" s="2">
        <v>10795.722750000001</v>
      </c>
      <c r="Y133" s="2">
        <v>530</v>
      </c>
      <c r="Z133" s="2">
        <v>18368.367740000002</v>
      </c>
      <c r="AD133" s="2">
        <v>610</v>
      </c>
      <c r="AE133" s="2">
        <v>4519.2692200000001</v>
      </c>
      <c r="AG133" s="2">
        <v>610</v>
      </c>
      <c r="AH133" s="2">
        <v>4275.5222299999996</v>
      </c>
    </row>
    <row r="134" spans="2:34" x14ac:dyDescent="0.2">
      <c r="B134" s="2">
        <v>611</v>
      </c>
      <c r="C134" s="2">
        <v>217.34423000000001</v>
      </c>
      <c r="E134" s="2">
        <v>751</v>
      </c>
      <c r="F134" s="2">
        <v>429.14046999999999</v>
      </c>
      <c r="K134" s="2">
        <v>531</v>
      </c>
      <c r="L134" s="2">
        <v>281.20737000000003</v>
      </c>
      <c r="P134" s="2">
        <v>611</v>
      </c>
      <c r="Q134" s="7">
        <v>5486.8017600000003</v>
      </c>
      <c r="V134" s="2">
        <v>751</v>
      </c>
      <c r="W134" s="2">
        <v>9700.9861799999999</v>
      </c>
      <c r="Y134" s="2">
        <v>531</v>
      </c>
      <c r="Z134" s="2">
        <v>19226.021570000001</v>
      </c>
      <c r="AD134" s="2">
        <v>611</v>
      </c>
      <c r="AE134" s="2">
        <v>4399.0677800000003</v>
      </c>
      <c r="AG134" s="2">
        <v>611</v>
      </c>
      <c r="AH134" s="2">
        <v>4091.7505999999998</v>
      </c>
    </row>
    <row r="135" spans="2:34" x14ac:dyDescent="0.2">
      <c r="B135" s="2">
        <v>612</v>
      </c>
      <c r="C135" s="2">
        <v>168.35504</v>
      </c>
      <c r="E135" s="2">
        <v>752</v>
      </c>
      <c r="F135" s="2">
        <v>731.18627000000004</v>
      </c>
      <c r="K135" s="2">
        <v>532</v>
      </c>
      <c r="L135" s="2">
        <v>474.65652</v>
      </c>
      <c r="P135" s="2">
        <v>612</v>
      </c>
      <c r="Q135" s="7">
        <v>5428.2077600000002</v>
      </c>
      <c r="V135" s="2">
        <v>752</v>
      </c>
      <c r="W135" s="2">
        <v>10824.34791</v>
      </c>
      <c r="Y135" s="2">
        <v>532</v>
      </c>
      <c r="Z135" s="2">
        <v>19930.851610000002</v>
      </c>
      <c r="AD135" s="2">
        <v>612</v>
      </c>
      <c r="AE135" s="2">
        <v>4167.6761999999999</v>
      </c>
      <c r="AG135" s="2">
        <v>612</v>
      </c>
      <c r="AH135" s="2">
        <v>4129.3527800000002</v>
      </c>
    </row>
    <row r="136" spans="2:34" x14ac:dyDescent="0.2">
      <c r="B136" s="2">
        <v>613</v>
      </c>
      <c r="C136" s="2">
        <v>168.41534999999999</v>
      </c>
      <c r="E136" s="2">
        <v>753</v>
      </c>
      <c r="F136" s="2">
        <v>440.20956999999999</v>
      </c>
      <c r="K136" s="2">
        <v>533</v>
      </c>
      <c r="L136" s="2">
        <v>182.24319</v>
      </c>
      <c r="P136" s="2">
        <v>613</v>
      </c>
      <c r="Q136" s="7">
        <v>5129.8990599999997</v>
      </c>
      <c r="V136" s="2">
        <v>753</v>
      </c>
      <c r="W136" s="2">
        <v>9242.8360400000001</v>
      </c>
      <c r="Y136" s="2">
        <v>533</v>
      </c>
      <c r="Z136" s="2">
        <v>20171.7654</v>
      </c>
      <c r="AD136" s="2">
        <v>613</v>
      </c>
      <c r="AE136" s="2">
        <v>4163.84256</v>
      </c>
      <c r="AG136" s="2">
        <v>613</v>
      </c>
      <c r="AH136" s="2">
        <v>3910.7588500000002</v>
      </c>
    </row>
    <row r="137" spans="2:34" x14ac:dyDescent="0.2">
      <c r="B137" s="2">
        <v>614</v>
      </c>
      <c r="C137" s="2">
        <v>204.40316000000001</v>
      </c>
      <c r="E137" s="2">
        <v>754</v>
      </c>
      <c r="F137" s="2">
        <v>-32.610080000000004</v>
      </c>
      <c r="K137" s="2">
        <v>534</v>
      </c>
      <c r="L137" s="2">
        <v>258.62108999999998</v>
      </c>
      <c r="P137" s="2">
        <v>614</v>
      </c>
      <c r="Q137" s="7">
        <v>5021.7942999999996</v>
      </c>
      <c r="V137" s="2">
        <v>754</v>
      </c>
      <c r="W137" s="2">
        <v>9108.6320300000007</v>
      </c>
      <c r="Y137" s="2">
        <v>534</v>
      </c>
      <c r="Z137" s="2">
        <v>22452.321459999999</v>
      </c>
      <c r="AD137" s="2">
        <v>614</v>
      </c>
      <c r="AE137" s="2">
        <v>3745.6601099999998</v>
      </c>
      <c r="AG137" s="2">
        <v>614</v>
      </c>
      <c r="AH137" s="2">
        <v>3805.1436699999999</v>
      </c>
    </row>
    <row r="138" spans="2:34" x14ac:dyDescent="0.2">
      <c r="B138" s="2">
        <v>615</v>
      </c>
      <c r="C138" s="2">
        <v>180.14207999999999</v>
      </c>
      <c r="E138" s="2">
        <v>755</v>
      </c>
      <c r="F138" s="2">
        <v>253.02384000000001</v>
      </c>
      <c r="K138" s="2">
        <v>535</v>
      </c>
      <c r="L138" s="2">
        <v>470.36815000000001</v>
      </c>
      <c r="P138" s="2">
        <v>615</v>
      </c>
      <c r="Q138" s="7">
        <v>4747.2561900000001</v>
      </c>
      <c r="V138" s="2">
        <v>755</v>
      </c>
      <c r="W138" s="2">
        <v>8009.5904300000002</v>
      </c>
      <c r="Y138" s="2">
        <v>535</v>
      </c>
      <c r="Z138" s="2">
        <v>22863.11548</v>
      </c>
      <c r="AD138" s="2">
        <v>615</v>
      </c>
      <c r="AE138" s="2">
        <v>3920.2800499999998</v>
      </c>
      <c r="AG138" s="2">
        <v>615</v>
      </c>
      <c r="AH138" s="2">
        <v>3724.2728299999999</v>
      </c>
    </row>
    <row r="139" spans="2:34" x14ac:dyDescent="0.2">
      <c r="B139" s="2">
        <v>616</v>
      </c>
      <c r="C139" s="2">
        <v>209.03604999999999</v>
      </c>
      <c r="E139" s="2">
        <v>756</v>
      </c>
      <c r="F139" s="2">
        <v>345.84870000000001</v>
      </c>
      <c r="K139" s="2">
        <v>536</v>
      </c>
      <c r="L139" s="2">
        <v>327.68709999999999</v>
      </c>
      <c r="P139" s="2">
        <v>616</v>
      </c>
      <c r="Q139" s="7">
        <v>4671.0728300000001</v>
      </c>
      <c r="V139" s="2">
        <v>756</v>
      </c>
      <c r="W139" s="2">
        <v>7806.3073100000001</v>
      </c>
      <c r="Y139" s="2">
        <v>536</v>
      </c>
      <c r="Z139" s="2">
        <v>24240.079470000001</v>
      </c>
      <c r="AD139" s="2">
        <v>616</v>
      </c>
      <c r="AE139" s="2">
        <v>3908.5312100000001</v>
      </c>
      <c r="AG139" s="2">
        <v>616</v>
      </c>
      <c r="AH139" s="2">
        <v>3524.3643699999998</v>
      </c>
    </row>
    <row r="140" spans="2:34" x14ac:dyDescent="0.2">
      <c r="B140" s="2">
        <v>617</v>
      </c>
      <c r="C140" s="2">
        <v>164.37432999999999</v>
      </c>
      <c r="E140" s="2">
        <v>757</v>
      </c>
      <c r="F140" s="2">
        <v>576.55727999999999</v>
      </c>
      <c r="K140" s="2">
        <v>537</v>
      </c>
      <c r="L140" s="2">
        <v>201.61273</v>
      </c>
      <c r="P140" s="2">
        <v>617</v>
      </c>
      <c r="Q140" s="7">
        <v>4513.7080299999998</v>
      </c>
      <c r="V140" s="2">
        <v>757</v>
      </c>
      <c r="W140" s="2">
        <v>8167.3767799999996</v>
      </c>
      <c r="Y140" s="2">
        <v>537</v>
      </c>
      <c r="Z140" s="2">
        <v>26078.9211</v>
      </c>
      <c r="AD140" s="2">
        <v>617</v>
      </c>
      <c r="AE140" s="2">
        <v>3855.0608099999999</v>
      </c>
      <c r="AG140" s="2">
        <v>617</v>
      </c>
      <c r="AH140" s="2">
        <v>3337.1438199999998</v>
      </c>
    </row>
    <row r="141" spans="2:34" x14ac:dyDescent="0.2">
      <c r="B141" s="2">
        <v>618</v>
      </c>
      <c r="C141" s="2">
        <v>156.05690000000001</v>
      </c>
      <c r="E141" s="2">
        <v>758</v>
      </c>
      <c r="F141" s="2">
        <v>583.59649000000002</v>
      </c>
      <c r="K141" s="2">
        <v>538</v>
      </c>
      <c r="L141" s="2">
        <v>312.43385999999998</v>
      </c>
      <c r="P141" s="2">
        <v>618</v>
      </c>
      <c r="Q141" s="7">
        <v>4618.91345</v>
      </c>
      <c r="V141" s="2">
        <v>758</v>
      </c>
      <c r="W141" s="2">
        <v>8238.3574599999993</v>
      </c>
      <c r="Y141" s="2">
        <v>538</v>
      </c>
      <c r="Z141" s="2">
        <v>27149.303530000001</v>
      </c>
      <c r="AD141" s="2">
        <v>618</v>
      </c>
      <c r="AE141" s="2">
        <v>3698.6385500000001</v>
      </c>
      <c r="AG141" s="2">
        <v>618</v>
      </c>
      <c r="AH141" s="2">
        <v>3297.1653299999998</v>
      </c>
    </row>
    <row r="142" spans="2:34" x14ac:dyDescent="0.2">
      <c r="B142" s="2">
        <v>619</v>
      </c>
      <c r="C142" s="2">
        <v>221.76929000000001</v>
      </c>
      <c r="E142" s="2">
        <v>759</v>
      </c>
      <c r="F142" s="2">
        <v>104.29415</v>
      </c>
      <c r="K142" s="2">
        <v>539</v>
      </c>
      <c r="L142" s="2">
        <v>159.27457999999999</v>
      </c>
      <c r="P142" s="2">
        <v>619</v>
      </c>
      <c r="Q142" s="7">
        <v>4142.3966099999998</v>
      </c>
      <c r="V142" s="2">
        <v>759</v>
      </c>
      <c r="W142" s="2">
        <v>7498.6015799999996</v>
      </c>
      <c r="Y142" s="2">
        <v>539</v>
      </c>
      <c r="Z142" s="2">
        <v>27443.355439999999</v>
      </c>
      <c r="AD142" s="2">
        <v>619</v>
      </c>
      <c r="AE142" s="2">
        <v>3464.8625400000001</v>
      </c>
      <c r="AG142" s="2">
        <v>619</v>
      </c>
      <c r="AH142" s="2">
        <v>3327.4011</v>
      </c>
    </row>
    <row r="143" spans="2:34" x14ac:dyDescent="0.2">
      <c r="B143" s="2">
        <v>620</v>
      </c>
      <c r="C143" s="2">
        <v>158.11410000000001</v>
      </c>
      <c r="E143" s="2">
        <v>760</v>
      </c>
      <c r="F143" s="2">
        <v>363.66124000000002</v>
      </c>
      <c r="K143" s="2">
        <v>540</v>
      </c>
      <c r="L143" s="2">
        <v>423.12265000000002</v>
      </c>
      <c r="P143" s="2">
        <v>620</v>
      </c>
      <c r="Q143" s="7">
        <v>3953.5421200000001</v>
      </c>
      <c r="V143" s="2">
        <v>760</v>
      </c>
      <c r="W143" s="2">
        <v>6089.2578199999998</v>
      </c>
      <c r="Y143" s="2">
        <v>540</v>
      </c>
      <c r="Z143" s="2">
        <v>29033.794030000001</v>
      </c>
      <c r="AD143" s="2">
        <v>620</v>
      </c>
      <c r="AE143" s="2">
        <v>3539.17695</v>
      </c>
      <c r="AG143" s="2">
        <v>620</v>
      </c>
      <c r="AH143" s="2">
        <v>3101.9925600000001</v>
      </c>
    </row>
    <row r="144" spans="2:34" x14ac:dyDescent="0.2">
      <c r="B144" s="2">
        <v>621</v>
      </c>
      <c r="C144" s="2">
        <v>204.10936000000001</v>
      </c>
      <c r="E144" s="2">
        <v>761</v>
      </c>
      <c r="F144" s="2">
        <v>250.27694</v>
      </c>
      <c r="K144" s="2">
        <v>541</v>
      </c>
      <c r="L144" s="2">
        <v>329.70362999999998</v>
      </c>
      <c r="P144" s="2">
        <v>621</v>
      </c>
      <c r="Q144" s="7">
        <v>4116.1366900000003</v>
      </c>
      <c r="V144" s="2">
        <v>761</v>
      </c>
      <c r="W144" s="2">
        <v>7209.3875799999996</v>
      </c>
      <c r="Y144" s="2">
        <v>541</v>
      </c>
      <c r="Z144" s="2">
        <v>29938.396410000001</v>
      </c>
      <c r="AD144" s="2">
        <v>621</v>
      </c>
      <c r="AE144" s="2">
        <v>3530.7326899999998</v>
      </c>
      <c r="AG144" s="2">
        <v>621</v>
      </c>
      <c r="AH144" s="2">
        <v>3106.8261699999998</v>
      </c>
    </row>
    <row r="145" spans="2:34" x14ac:dyDescent="0.2">
      <c r="B145" s="2">
        <v>622</v>
      </c>
      <c r="C145" s="2">
        <v>197.62775999999999</v>
      </c>
      <c r="E145" s="2">
        <v>762</v>
      </c>
      <c r="F145" s="2">
        <v>616.8895</v>
      </c>
      <c r="K145" s="2">
        <v>542</v>
      </c>
      <c r="L145" s="2">
        <v>501.49752999999998</v>
      </c>
      <c r="P145" s="2">
        <v>622</v>
      </c>
      <c r="Q145" s="7">
        <v>3795.44</v>
      </c>
      <c r="V145" s="2">
        <v>762</v>
      </c>
      <c r="W145" s="2">
        <v>6100.9599699999999</v>
      </c>
      <c r="Y145" s="2">
        <v>542</v>
      </c>
      <c r="Z145" s="2">
        <v>31661.501100000001</v>
      </c>
      <c r="AD145" s="2">
        <v>622</v>
      </c>
      <c r="AE145" s="2">
        <v>3455.8310900000001</v>
      </c>
      <c r="AG145" s="2">
        <v>622</v>
      </c>
      <c r="AH145" s="2">
        <v>3123.6573899999999</v>
      </c>
    </row>
    <row r="146" spans="2:34" x14ac:dyDescent="0.2">
      <c r="B146" s="2">
        <v>623</v>
      </c>
      <c r="C146" s="2">
        <v>218.52195</v>
      </c>
      <c r="E146" s="2">
        <v>763</v>
      </c>
      <c r="F146" s="2">
        <v>-159.30205000000001</v>
      </c>
      <c r="K146" s="2">
        <v>543</v>
      </c>
      <c r="L146" s="2">
        <v>529.56169</v>
      </c>
      <c r="P146" s="2">
        <v>623</v>
      </c>
      <c r="Q146" s="7">
        <v>3557.4787500000002</v>
      </c>
      <c r="V146" s="2">
        <v>763</v>
      </c>
      <c r="W146" s="2">
        <v>6623.4446200000002</v>
      </c>
      <c r="Y146" s="2">
        <v>543</v>
      </c>
      <c r="Z146" s="2">
        <v>32820.890650000001</v>
      </c>
      <c r="AD146" s="2">
        <v>623</v>
      </c>
      <c r="AE146" s="2">
        <v>3409.7791900000002</v>
      </c>
      <c r="AG146" s="2">
        <v>623</v>
      </c>
      <c r="AH146" s="2">
        <v>3039.0610499999998</v>
      </c>
    </row>
    <row r="147" spans="2:34" x14ac:dyDescent="0.2">
      <c r="B147" s="2">
        <v>624</v>
      </c>
      <c r="C147" s="2">
        <v>206.67974000000001</v>
      </c>
      <c r="E147" s="2">
        <v>764</v>
      </c>
      <c r="F147" s="2">
        <v>62.155650000000001</v>
      </c>
      <c r="K147" s="2">
        <v>544</v>
      </c>
      <c r="L147" s="2">
        <v>307.46363000000002</v>
      </c>
      <c r="P147" s="2">
        <v>624</v>
      </c>
      <c r="Q147" s="7">
        <v>3622.7732900000001</v>
      </c>
      <c r="V147" s="2">
        <v>764</v>
      </c>
      <c r="W147" s="2">
        <v>6237.1921300000004</v>
      </c>
      <c r="Y147" s="2">
        <v>544</v>
      </c>
      <c r="Z147" s="2">
        <v>33663.007160000001</v>
      </c>
      <c r="AD147" s="2">
        <v>624</v>
      </c>
      <c r="AE147" s="2">
        <v>3486.2800900000002</v>
      </c>
      <c r="AG147" s="2">
        <v>624</v>
      </c>
      <c r="AH147" s="2">
        <v>2953.1435000000001</v>
      </c>
    </row>
    <row r="148" spans="2:34" x14ac:dyDescent="0.2">
      <c r="B148" s="2">
        <v>625</v>
      </c>
      <c r="C148" s="2">
        <v>179.30645999999999</v>
      </c>
      <c r="E148" s="2">
        <v>765</v>
      </c>
      <c r="F148" s="2">
        <v>113.48137</v>
      </c>
      <c r="K148" s="2">
        <v>545</v>
      </c>
      <c r="L148" s="2">
        <v>429.27695999999997</v>
      </c>
      <c r="P148" s="2">
        <v>625</v>
      </c>
      <c r="Q148" s="7">
        <v>3416.6662799999999</v>
      </c>
      <c r="V148" s="2">
        <v>765</v>
      </c>
      <c r="W148" s="2">
        <v>7116.05465</v>
      </c>
      <c r="Y148" s="2">
        <v>545</v>
      </c>
      <c r="Z148" s="2">
        <v>35078.42987</v>
      </c>
      <c r="AD148" s="2">
        <v>625</v>
      </c>
      <c r="AE148" s="2">
        <v>3381.2825699999999</v>
      </c>
      <c r="AG148" s="2">
        <v>625</v>
      </c>
      <c r="AH148" s="2">
        <v>2722.8040799999999</v>
      </c>
    </row>
    <row r="149" spans="2:34" x14ac:dyDescent="0.2">
      <c r="B149" s="2">
        <v>626</v>
      </c>
      <c r="C149" s="2">
        <v>245.91417999999999</v>
      </c>
      <c r="E149" s="2">
        <v>766</v>
      </c>
      <c r="F149" s="2">
        <v>1012.52493</v>
      </c>
      <c r="K149" s="2">
        <v>546</v>
      </c>
      <c r="L149" s="2">
        <v>300.90370999999999</v>
      </c>
      <c r="P149" s="2">
        <v>626</v>
      </c>
      <c r="Q149" s="7">
        <v>3432.1005500000001</v>
      </c>
      <c r="V149" s="2">
        <v>766</v>
      </c>
      <c r="W149" s="2">
        <v>5501.8550800000003</v>
      </c>
      <c r="Y149" s="2">
        <v>546</v>
      </c>
      <c r="Z149" s="2">
        <v>36761.024160000001</v>
      </c>
      <c r="AD149" s="2">
        <v>626</v>
      </c>
      <c r="AE149" s="2">
        <v>3635.4038500000001</v>
      </c>
      <c r="AG149" s="2">
        <v>626</v>
      </c>
      <c r="AH149" s="2">
        <v>2824.0932899999998</v>
      </c>
    </row>
    <row r="150" spans="2:34" x14ac:dyDescent="0.2">
      <c r="B150" s="2">
        <v>627</v>
      </c>
      <c r="C150" s="2">
        <v>238.21539000000001</v>
      </c>
      <c r="E150" s="2">
        <v>767</v>
      </c>
      <c r="F150" s="2">
        <v>298.61932000000002</v>
      </c>
      <c r="K150" s="2">
        <v>547</v>
      </c>
      <c r="L150" s="2">
        <v>406.58942999999999</v>
      </c>
      <c r="P150" s="2">
        <v>627</v>
      </c>
      <c r="Q150" s="7">
        <v>3234.3888400000001</v>
      </c>
      <c r="V150" s="2">
        <v>767</v>
      </c>
      <c r="W150" s="2">
        <v>5607.8330500000002</v>
      </c>
      <c r="Y150" s="2">
        <v>547</v>
      </c>
      <c r="Z150" s="2">
        <v>37649.003669999998</v>
      </c>
      <c r="AD150" s="2">
        <v>627</v>
      </c>
      <c r="AE150" s="2">
        <v>3573.7144600000001</v>
      </c>
      <c r="AG150" s="2">
        <v>627</v>
      </c>
      <c r="AH150" s="2">
        <v>2852.0035699999999</v>
      </c>
    </row>
    <row r="151" spans="2:34" x14ac:dyDescent="0.2">
      <c r="B151" s="2">
        <v>628</v>
      </c>
      <c r="C151" s="2">
        <v>284.23827999999997</v>
      </c>
      <c r="E151" s="2">
        <v>768</v>
      </c>
      <c r="F151" s="2">
        <v>-144.77391</v>
      </c>
      <c r="K151" s="2">
        <v>548</v>
      </c>
      <c r="L151" s="2">
        <v>303.14902999999998</v>
      </c>
      <c r="P151" s="2">
        <v>628</v>
      </c>
      <c r="Q151" s="7">
        <v>3102.1000399999998</v>
      </c>
      <c r="V151" s="2">
        <v>768</v>
      </c>
      <c r="W151" s="2">
        <v>4726.2017900000001</v>
      </c>
      <c r="Y151" s="2">
        <v>548</v>
      </c>
      <c r="Z151" s="2">
        <v>39633.895270000001</v>
      </c>
      <c r="AD151" s="2">
        <v>628</v>
      </c>
      <c r="AE151" s="2">
        <v>3787.4708099999998</v>
      </c>
      <c r="AG151" s="2">
        <v>628</v>
      </c>
      <c r="AH151" s="2">
        <v>2890.26638</v>
      </c>
    </row>
    <row r="152" spans="2:34" x14ac:dyDescent="0.2">
      <c r="B152" s="2">
        <v>629</v>
      </c>
      <c r="C152" s="2">
        <v>258.96026999999998</v>
      </c>
      <c r="E152" s="2">
        <v>769</v>
      </c>
      <c r="F152" s="2">
        <v>573.71663999999998</v>
      </c>
      <c r="K152" s="2">
        <v>549</v>
      </c>
      <c r="L152" s="2">
        <v>321.43392999999998</v>
      </c>
      <c r="P152" s="2">
        <v>629</v>
      </c>
      <c r="Q152" s="7">
        <v>2839.7189899999998</v>
      </c>
      <c r="V152" s="2">
        <v>769</v>
      </c>
      <c r="W152" s="2">
        <v>4811.6862700000001</v>
      </c>
      <c r="Y152" s="2">
        <v>549</v>
      </c>
      <c r="Z152" s="2">
        <v>40513.220800000003</v>
      </c>
      <c r="AD152" s="2">
        <v>629</v>
      </c>
      <c r="AE152" s="2">
        <v>3865.7009600000001</v>
      </c>
      <c r="AG152" s="2">
        <v>629</v>
      </c>
      <c r="AH152" s="2">
        <v>2714.0773100000001</v>
      </c>
    </row>
    <row r="153" spans="2:34" x14ac:dyDescent="0.2">
      <c r="B153" s="2">
        <v>630</v>
      </c>
      <c r="C153" s="2">
        <v>192.42596</v>
      </c>
      <c r="E153" s="2">
        <v>770</v>
      </c>
      <c r="F153" s="2">
        <v>283.78895999999997</v>
      </c>
      <c r="K153" s="2">
        <v>550</v>
      </c>
      <c r="L153" s="2">
        <v>182.14276000000001</v>
      </c>
      <c r="P153" s="2">
        <v>630</v>
      </c>
      <c r="Q153" s="7">
        <v>2714.9446899999998</v>
      </c>
      <c r="V153" s="2">
        <v>770</v>
      </c>
      <c r="W153" s="2">
        <v>5623.0895700000001</v>
      </c>
      <c r="Y153" s="2">
        <v>550</v>
      </c>
      <c r="Z153" s="2">
        <v>41103.613389999999</v>
      </c>
      <c r="AD153" s="2">
        <v>630</v>
      </c>
      <c r="AE153" s="2">
        <v>3991.2936399999999</v>
      </c>
      <c r="AG153" s="2">
        <v>630</v>
      </c>
      <c r="AH153" s="2">
        <v>2839.6544199999998</v>
      </c>
    </row>
    <row r="154" spans="2:34" x14ac:dyDescent="0.2">
      <c r="B154" s="2">
        <v>631</v>
      </c>
      <c r="C154" s="2">
        <v>189.20715000000001</v>
      </c>
      <c r="E154" s="2">
        <v>771</v>
      </c>
      <c r="F154" s="2">
        <v>1083.39831</v>
      </c>
      <c r="K154" s="2">
        <v>551</v>
      </c>
      <c r="L154" s="2">
        <v>323.74675999999999</v>
      </c>
      <c r="P154" s="2">
        <v>631</v>
      </c>
      <c r="Q154" s="7">
        <v>2865.6394300000002</v>
      </c>
      <c r="V154" s="2">
        <v>771</v>
      </c>
      <c r="W154" s="2">
        <v>4792.1176299999997</v>
      </c>
      <c r="Y154" s="2">
        <v>551</v>
      </c>
      <c r="Z154" s="2">
        <v>44151.290889999997</v>
      </c>
      <c r="AD154" s="2">
        <v>631</v>
      </c>
      <c r="AE154" s="2">
        <v>4176.7798300000004</v>
      </c>
      <c r="AG154" s="2">
        <v>631</v>
      </c>
      <c r="AH154" s="2">
        <v>2933.2609400000001</v>
      </c>
    </row>
    <row r="155" spans="2:34" x14ac:dyDescent="0.2">
      <c r="B155" s="2">
        <v>632</v>
      </c>
      <c r="C155" s="2">
        <v>253.53113999999999</v>
      </c>
      <c r="E155" s="2">
        <v>772</v>
      </c>
      <c r="F155" s="2">
        <v>515.43816000000004</v>
      </c>
      <c r="K155" s="2">
        <v>552</v>
      </c>
      <c r="L155" s="2">
        <v>422.16039999999998</v>
      </c>
      <c r="P155" s="2">
        <v>632</v>
      </c>
      <c r="Q155" s="7">
        <v>2827.5834100000002</v>
      </c>
      <c r="V155" s="2">
        <v>772</v>
      </c>
      <c r="W155" s="2">
        <v>4974.6650900000004</v>
      </c>
      <c r="Y155" s="2">
        <v>552</v>
      </c>
      <c r="Z155" s="2">
        <v>43871.104050000002</v>
      </c>
      <c r="AD155" s="2">
        <v>632</v>
      </c>
      <c r="AE155" s="2">
        <v>4469.5593099999996</v>
      </c>
      <c r="AG155" s="2">
        <v>632</v>
      </c>
      <c r="AH155" s="2">
        <v>2991.8252900000002</v>
      </c>
    </row>
    <row r="156" spans="2:34" x14ac:dyDescent="0.2">
      <c r="B156" s="2">
        <v>633</v>
      </c>
      <c r="C156" s="2">
        <v>199.01507000000001</v>
      </c>
      <c r="E156" s="2">
        <v>773</v>
      </c>
      <c r="F156" s="2">
        <v>579.31451000000004</v>
      </c>
      <c r="K156" s="2">
        <v>553</v>
      </c>
      <c r="L156" s="2">
        <v>157.42916</v>
      </c>
      <c r="P156" s="2">
        <v>633</v>
      </c>
      <c r="Q156" s="7">
        <v>2670.5265800000002</v>
      </c>
      <c r="V156" s="2">
        <v>773</v>
      </c>
      <c r="W156" s="2">
        <v>5020.9274699999996</v>
      </c>
      <c r="Y156" s="2">
        <v>553</v>
      </c>
      <c r="Z156" s="2">
        <v>46661.063829999999</v>
      </c>
      <c r="AD156" s="2">
        <v>633</v>
      </c>
      <c r="AE156" s="2">
        <v>4753.9953599999999</v>
      </c>
      <c r="AG156" s="2">
        <v>633</v>
      </c>
      <c r="AH156" s="2">
        <v>3086.1052100000002</v>
      </c>
    </row>
    <row r="157" spans="2:34" x14ac:dyDescent="0.2">
      <c r="B157" s="2">
        <v>634</v>
      </c>
      <c r="C157" s="2">
        <v>240.41757000000001</v>
      </c>
      <c r="E157" s="2">
        <v>774</v>
      </c>
      <c r="F157" s="2">
        <v>387.37736999999998</v>
      </c>
      <c r="K157" s="2">
        <v>554</v>
      </c>
      <c r="L157" s="2">
        <v>113.24281999999999</v>
      </c>
      <c r="P157" s="2">
        <v>634</v>
      </c>
      <c r="Q157" s="7">
        <v>2560.32503</v>
      </c>
      <c r="V157" s="2">
        <v>774</v>
      </c>
      <c r="W157" s="2">
        <v>5040.3061399999997</v>
      </c>
      <c r="Y157" s="2">
        <v>554</v>
      </c>
      <c r="Z157" s="2">
        <v>48107.758220000003</v>
      </c>
      <c r="AD157" s="2">
        <v>634</v>
      </c>
      <c r="AE157" s="2">
        <v>5169.8372399999998</v>
      </c>
      <c r="AG157" s="2">
        <v>634</v>
      </c>
      <c r="AH157" s="2">
        <v>3066.0282000000002</v>
      </c>
    </row>
    <row r="158" spans="2:34" x14ac:dyDescent="0.2">
      <c r="B158" s="2">
        <v>635</v>
      </c>
      <c r="C158" s="2">
        <v>273.77780999999999</v>
      </c>
      <c r="E158" s="2">
        <v>775</v>
      </c>
      <c r="F158" s="2">
        <v>305.41165999999998</v>
      </c>
      <c r="K158" s="2">
        <v>555</v>
      </c>
      <c r="L158" s="2">
        <v>122.67178</v>
      </c>
      <c r="P158" s="2">
        <v>635</v>
      </c>
      <c r="Q158" s="7">
        <v>2569.2524400000002</v>
      </c>
      <c r="V158" s="2">
        <v>775</v>
      </c>
      <c r="W158" s="2">
        <v>5023.2614700000004</v>
      </c>
      <c r="Y158" s="2">
        <v>555</v>
      </c>
      <c r="Z158" s="2">
        <v>48620.486149999997</v>
      </c>
      <c r="AD158" s="2">
        <v>635</v>
      </c>
      <c r="AE158" s="2">
        <v>5672.4137700000001</v>
      </c>
      <c r="AG158" s="2">
        <v>635</v>
      </c>
      <c r="AH158" s="2">
        <v>3386.7703000000001</v>
      </c>
    </row>
    <row r="159" spans="2:34" x14ac:dyDescent="0.2">
      <c r="B159" s="2">
        <v>636</v>
      </c>
      <c r="C159" s="2">
        <v>244.25873999999999</v>
      </c>
      <c r="E159" s="2">
        <v>776</v>
      </c>
      <c r="F159" s="2">
        <v>-14.70349</v>
      </c>
      <c r="K159" s="2">
        <v>556</v>
      </c>
      <c r="L159" s="2">
        <v>437.05781999999999</v>
      </c>
      <c r="P159" s="2">
        <v>636</v>
      </c>
      <c r="Q159" s="7">
        <v>2304.0917199999999</v>
      </c>
      <c r="V159" s="2">
        <v>776</v>
      </c>
      <c r="W159" s="2">
        <v>4733.2561500000002</v>
      </c>
      <c r="Y159" s="2">
        <v>556</v>
      </c>
      <c r="Z159" s="2">
        <v>50211.680659999998</v>
      </c>
      <c r="AD159" s="2">
        <v>636</v>
      </c>
      <c r="AE159" s="2">
        <v>6208.30339</v>
      </c>
      <c r="AG159" s="2">
        <v>636</v>
      </c>
      <c r="AH159" s="2">
        <v>3670.7367899999999</v>
      </c>
    </row>
    <row r="160" spans="2:34" x14ac:dyDescent="0.2">
      <c r="B160" s="2">
        <v>637</v>
      </c>
      <c r="C160" s="2">
        <v>338.58735000000001</v>
      </c>
      <c r="E160" s="2">
        <v>777</v>
      </c>
      <c r="F160" s="2">
        <v>491.24072000000001</v>
      </c>
      <c r="K160" s="2">
        <v>557</v>
      </c>
      <c r="L160" s="2">
        <v>276.74198999999999</v>
      </c>
      <c r="P160" s="2">
        <v>637</v>
      </c>
      <c r="Q160" s="7">
        <v>2269.7321700000002</v>
      </c>
      <c r="V160" s="2">
        <v>777</v>
      </c>
      <c r="W160" s="2">
        <v>4731.4972799999996</v>
      </c>
      <c r="Y160" s="2">
        <v>557</v>
      </c>
      <c r="Z160" s="2">
        <v>50710.024619999997</v>
      </c>
      <c r="AD160" s="2">
        <v>637</v>
      </c>
      <c r="AE160" s="2">
        <v>7024.2642299999998</v>
      </c>
      <c r="AG160" s="2">
        <v>637</v>
      </c>
      <c r="AH160" s="2">
        <v>3712.12273</v>
      </c>
    </row>
    <row r="161" spans="2:34" x14ac:dyDescent="0.2">
      <c r="B161" s="2">
        <v>638</v>
      </c>
      <c r="C161" s="2">
        <v>225.03325000000001</v>
      </c>
      <c r="E161" s="2">
        <v>778</v>
      </c>
      <c r="F161" s="2">
        <v>-286.09755000000001</v>
      </c>
      <c r="K161" s="2">
        <v>558</v>
      </c>
      <c r="L161" s="2">
        <v>323.68882000000002</v>
      </c>
      <c r="P161" s="2">
        <v>638</v>
      </c>
      <c r="Q161" s="7">
        <v>2259.8833599999998</v>
      </c>
      <c r="V161" s="2">
        <v>778</v>
      </c>
      <c r="W161" s="2">
        <v>3847.8376899999998</v>
      </c>
      <c r="Y161" s="2">
        <v>558</v>
      </c>
      <c r="Z161" s="2">
        <v>53461.980940000001</v>
      </c>
      <c r="AD161" s="2">
        <v>638</v>
      </c>
      <c r="AE161" s="2">
        <v>7175.1327700000002</v>
      </c>
      <c r="AG161" s="2">
        <v>638</v>
      </c>
      <c r="AH161" s="2">
        <v>4154.7706399999997</v>
      </c>
    </row>
    <row r="162" spans="2:34" x14ac:dyDescent="0.2">
      <c r="B162" s="2">
        <v>639</v>
      </c>
      <c r="C162" s="2">
        <v>341.72816</v>
      </c>
      <c r="E162" s="2">
        <v>779</v>
      </c>
      <c r="F162" s="2">
        <v>869.04638999999997</v>
      </c>
      <c r="K162" s="2">
        <v>559</v>
      </c>
      <c r="L162" s="2">
        <v>-30.044789999999999</v>
      </c>
      <c r="P162" s="2">
        <v>639</v>
      </c>
      <c r="Q162" s="7">
        <v>2037.9021299999999</v>
      </c>
      <c r="V162" s="2">
        <v>779</v>
      </c>
      <c r="W162" s="2">
        <v>3527.7057199999999</v>
      </c>
      <c r="Y162" s="2">
        <v>559</v>
      </c>
      <c r="Z162" s="2">
        <v>54223.745329999998</v>
      </c>
      <c r="AD162" s="2">
        <v>639</v>
      </c>
      <c r="AE162" s="2">
        <v>8128.9869200000003</v>
      </c>
      <c r="AG162" s="2">
        <v>639</v>
      </c>
      <c r="AH162" s="2">
        <v>4337.8367799999996</v>
      </c>
    </row>
    <row r="163" spans="2:34" x14ac:dyDescent="0.2">
      <c r="B163" s="2">
        <v>640</v>
      </c>
      <c r="C163" s="2">
        <v>282.29759000000001</v>
      </c>
      <c r="E163" s="2">
        <v>780</v>
      </c>
      <c r="F163" s="2">
        <v>755.33408999999995</v>
      </c>
      <c r="K163" s="2">
        <v>560</v>
      </c>
      <c r="L163" s="2">
        <v>134.36609999999999</v>
      </c>
      <c r="P163" s="2">
        <v>640</v>
      </c>
      <c r="Q163" s="7">
        <v>1962.19525</v>
      </c>
      <c r="V163" s="2">
        <v>780</v>
      </c>
      <c r="W163" s="2">
        <v>3411.4226699999999</v>
      </c>
      <c r="Y163" s="2">
        <v>560</v>
      </c>
      <c r="Z163" s="2">
        <v>56707.112520000002</v>
      </c>
      <c r="AD163" s="2">
        <v>640</v>
      </c>
      <c r="AE163" s="2">
        <v>9454.7966199999992</v>
      </c>
      <c r="AG163" s="2">
        <v>640</v>
      </c>
      <c r="AH163" s="2">
        <v>4718.93649</v>
      </c>
    </row>
    <row r="164" spans="2:34" x14ac:dyDescent="0.2">
      <c r="B164" s="2">
        <v>641</v>
      </c>
      <c r="C164" s="2">
        <v>230.07626999999999</v>
      </c>
      <c r="E164" s="2">
        <v>781</v>
      </c>
      <c r="F164" s="2">
        <v>858.72920999999997</v>
      </c>
      <c r="K164" s="2">
        <v>561</v>
      </c>
      <c r="L164" s="2">
        <v>180.92580000000001</v>
      </c>
      <c r="P164" s="2">
        <v>641</v>
      </c>
      <c r="Q164" s="7">
        <v>1903.08232</v>
      </c>
      <c r="V164" s="2">
        <v>781</v>
      </c>
      <c r="W164" s="2">
        <v>3185.57834</v>
      </c>
      <c r="Y164" s="2">
        <v>561</v>
      </c>
      <c r="Z164" s="2">
        <v>57572.861369999999</v>
      </c>
      <c r="AD164" s="2">
        <v>641</v>
      </c>
      <c r="AE164" s="2">
        <v>10821.70096</v>
      </c>
      <c r="AG164" s="2">
        <v>641</v>
      </c>
      <c r="AH164" s="2">
        <v>5160.2443499999999</v>
      </c>
    </row>
    <row r="165" spans="2:34" x14ac:dyDescent="0.2">
      <c r="B165" s="2">
        <v>642</v>
      </c>
      <c r="C165" s="2">
        <v>331.81367</v>
      </c>
      <c r="E165" s="2">
        <v>782</v>
      </c>
      <c r="F165" s="2">
        <v>966.16654000000005</v>
      </c>
      <c r="K165" s="2">
        <v>562</v>
      </c>
      <c r="L165" s="2">
        <v>291.98018999999999</v>
      </c>
      <c r="P165" s="2">
        <v>642</v>
      </c>
      <c r="Q165" s="7">
        <v>1953.7394899999999</v>
      </c>
      <c r="V165" s="2">
        <v>782</v>
      </c>
      <c r="W165" s="2">
        <v>4044.35131</v>
      </c>
      <c r="Y165" s="2">
        <v>562</v>
      </c>
      <c r="Z165" s="2">
        <v>59936.739289999998</v>
      </c>
      <c r="AD165" s="2">
        <v>642</v>
      </c>
      <c r="AE165" s="2">
        <v>11293.965179999999</v>
      </c>
      <c r="AG165" s="2">
        <v>642</v>
      </c>
      <c r="AH165" s="2">
        <v>5566.0028400000001</v>
      </c>
    </row>
    <row r="166" spans="2:34" x14ac:dyDescent="0.2">
      <c r="B166" s="2">
        <v>643</v>
      </c>
      <c r="C166" s="2">
        <v>262.86415</v>
      </c>
      <c r="E166" s="2">
        <v>783</v>
      </c>
      <c r="F166" s="2">
        <v>882.27899000000002</v>
      </c>
      <c r="K166" s="2">
        <v>563</v>
      </c>
      <c r="L166" s="2">
        <v>265.16095000000001</v>
      </c>
      <c r="P166" s="2">
        <v>643</v>
      </c>
      <c r="Q166" s="7">
        <v>1912.32178</v>
      </c>
      <c r="V166" s="2">
        <v>783</v>
      </c>
      <c r="W166" s="2">
        <v>3905.5860499999999</v>
      </c>
      <c r="Y166" s="2">
        <v>563</v>
      </c>
      <c r="Z166" s="2">
        <v>61404.344660000002</v>
      </c>
      <c r="AD166" s="2">
        <v>643</v>
      </c>
      <c r="AE166" s="2">
        <v>12797.346879999999</v>
      </c>
      <c r="AG166" s="2">
        <v>643</v>
      </c>
      <c r="AH166" s="2">
        <v>6107.50162</v>
      </c>
    </row>
    <row r="167" spans="2:34" x14ac:dyDescent="0.2">
      <c r="B167" s="2">
        <v>644</v>
      </c>
      <c r="C167" s="2">
        <v>286.90361999999999</v>
      </c>
      <c r="E167" s="2">
        <v>784</v>
      </c>
      <c r="F167" s="2">
        <v>-179.02700999999999</v>
      </c>
      <c r="K167" s="2">
        <v>564</v>
      </c>
      <c r="L167" s="2">
        <v>312.66331000000002</v>
      </c>
      <c r="P167" s="2">
        <v>644</v>
      </c>
      <c r="Q167" s="7">
        <v>1829.38094</v>
      </c>
      <c r="V167" s="2">
        <v>784</v>
      </c>
      <c r="W167" s="2">
        <v>2740.74071</v>
      </c>
      <c r="Y167" s="2">
        <v>564</v>
      </c>
      <c r="Z167" s="2">
        <v>62917.132550000002</v>
      </c>
      <c r="AD167" s="2">
        <v>644</v>
      </c>
      <c r="AE167" s="2">
        <v>13756.139649999999</v>
      </c>
      <c r="AG167" s="2">
        <v>644</v>
      </c>
      <c r="AH167" s="2">
        <v>6494.9431400000003</v>
      </c>
    </row>
    <row r="168" spans="2:34" x14ac:dyDescent="0.2">
      <c r="B168" s="2">
        <v>645</v>
      </c>
      <c r="C168" s="2">
        <v>254.26838000000001</v>
      </c>
      <c r="E168" s="2">
        <v>785</v>
      </c>
      <c r="F168" s="2">
        <v>-148.55888999999999</v>
      </c>
      <c r="K168" s="2">
        <v>565</v>
      </c>
      <c r="L168" s="2">
        <v>220.10441</v>
      </c>
      <c r="P168" s="2">
        <v>645</v>
      </c>
      <c r="Q168" s="7">
        <v>1791.86445</v>
      </c>
      <c r="V168" s="2">
        <v>785</v>
      </c>
      <c r="W168" s="2">
        <v>4074.5093499999998</v>
      </c>
      <c r="Y168" s="2">
        <v>565</v>
      </c>
      <c r="Z168" s="2">
        <v>65040.805249999998</v>
      </c>
      <c r="AD168" s="2">
        <v>645</v>
      </c>
      <c r="AE168" s="2">
        <v>15646.292439999999</v>
      </c>
      <c r="AG168" s="2">
        <v>645</v>
      </c>
      <c r="AH168" s="2">
        <v>7058.2992599999998</v>
      </c>
    </row>
    <row r="169" spans="2:34" x14ac:dyDescent="0.2">
      <c r="B169" s="2">
        <v>646</v>
      </c>
      <c r="C169" s="2">
        <v>276.17959999999999</v>
      </c>
      <c r="E169" s="2">
        <v>786</v>
      </c>
      <c r="F169" s="2">
        <v>817.47551999999996</v>
      </c>
      <c r="K169" s="2">
        <v>566</v>
      </c>
      <c r="L169" s="2">
        <v>118.25131</v>
      </c>
      <c r="P169" s="2">
        <v>646</v>
      </c>
      <c r="Q169" s="7">
        <v>1708.95841</v>
      </c>
      <c r="V169" s="2">
        <v>786</v>
      </c>
      <c r="W169" s="2">
        <v>3855.0518400000001</v>
      </c>
      <c r="Y169" s="2">
        <v>566</v>
      </c>
      <c r="Z169" s="2">
        <v>69305.996830000004</v>
      </c>
      <c r="AD169" s="2">
        <v>646</v>
      </c>
      <c r="AE169" s="2">
        <v>16801.68547</v>
      </c>
      <c r="AG169" s="2">
        <v>646</v>
      </c>
      <c r="AH169" s="2">
        <v>7635.4328699999996</v>
      </c>
    </row>
    <row r="170" spans="2:34" x14ac:dyDescent="0.2">
      <c r="B170" s="2">
        <v>647</v>
      </c>
      <c r="C170" s="2">
        <v>232.59477000000001</v>
      </c>
      <c r="E170" s="2">
        <v>787</v>
      </c>
      <c r="F170" s="2">
        <v>-185.96449000000001</v>
      </c>
      <c r="K170" s="2">
        <v>567</v>
      </c>
      <c r="L170" s="2">
        <v>313.70742000000001</v>
      </c>
      <c r="P170" s="2">
        <v>647</v>
      </c>
      <c r="Q170" s="7">
        <v>1609.7500700000001</v>
      </c>
      <c r="V170" s="2">
        <v>787</v>
      </c>
      <c r="W170" s="2">
        <v>3337.2091300000002</v>
      </c>
      <c r="Y170" s="2">
        <v>567</v>
      </c>
      <c r="Z170" s="2">
        <v>69461.12818</v>
      </c>
      <c r="AD170" s="2">
        <v>647</v>
      </c>
      <c r="AE170" s="2">
        <v>18569.242249999999</v>
      </c>
      <c r="AG170" s="2">
        <v>647</v>
      </c>
      <c r="AH170" s="2">
        <v>8424.4154799999997</v>
      </c>
    </row>
    <row r="171" spans="2:34" x14ac:dyDescent="0.2">
      <c r="B171" s="2">
        <v>648</v>
      </c>
      <c r="C171" s="2">
        <v>153.75380999999999</v>
      </c>
      <c r="E171" s="2">
        <v>788</v>
      </c>
      <c r="F171" s="2">
        <v>-222.48524</v>
      </c>
      <c r="K171" s="2">
        <v>568</v>
      </c>
      <c r="L171" s="2">
        <v>80.957509999999999</v>
      </c>
      <c r="P171" s="2">
        <v>648</v>
      </c>
      <c r="Q171" s="7">
        <v>1425.7466400000001</v>
      </c>
      <c r="V171" s="2">
        <v>788</v>
      </c>
      <c r="W171" s="2">
        <v>4486.3724599999996</v>
      </c>
      <c r="Y171" s="2">
        <v>568</v>
      </c>
      <c r="Z171" s="2">
        <v>74609.392510000005</v>
      </c>
      <c r="AD171" s="2">
        <v>648</v>
      </c>
      <c r="AE171" s="2">
        <v>20575.082160000002</v>
      </c>
      <c r="AG171" s="2">
        <v>648</v>
      </c>
      <c r="AH171" s="2">
        <v>9341.1193800000001</v>
      </c>
    </row>
    <row r="172" spans="2:34" x14ac:dyDescent="0.2">
      <c r="B172" s="2">
        <v>649</v>
      </c>
      <c r="C172" s="2">
        <v>257.35230000000001</v>
      </c>
      <c r="E172" s="2">
        <v>789</v>
      </c>
      <c r="F172" s="2">
        <v>916.27396999999996</v>
      </c>
      <c r="K172" s="2">
        <v>569</v>
      </c>
      <c r="L172" s="2">
        <v>519.09204999999997</v>
      </c>
      <c r="P172" s="2">
        <v>649</v>
      </c>
      <c r="Q172" s="7">
        <v>1582.22073</v>
      </c>
      <c r="V172" s="2">
        <v>789</v>
      </c>
      <c r="W172" s="2">
        <v>2905.9995899999999</v>
      </c>
      <c r="Y172" s="2">
        <v>569</v>
      </c>
      <c r="Z172" s="2">
        <v>74939.953380000006</v>
      </c>
      <c r="AD172" s="2">
        <v>649</v>
      </c>
      <c r="AE172" s="2">
        <v>22775.033189999998</v>
      </c>
      <c r="AG172" s="2">
        <v>649</v>
      </c>
      <c r="AH172" s="2">
        <v>9597.1624599999996</v>
      </c>
    </row>
    <row r="173" spans="2:34" x14ac:dyDescent="0.2">
      <c r="B173" s="2">
        <v>650</v>
      </c>
      <c r="C173" s="2">
        <v>305.3897</v>
      </c>
      <c r="E173" s="2">
        <v>790</v>
      </c>
      <c r="F173" s="2">
        <v>893.30703000000005</v>
      </c>
      <c r="K173" s="2">
        <v>570</v>
      </c>
      <c r="L173" s="2">
        <v>62.780740000000002</v>
      </c>
      <c r="P173" s="2">
        <v>650</v>
      </c>
      <c r="Q173" s="7">
        <v>1715.67804</v>
      </c>
      <c r="V173" s="2">
        <v>790</v>
      </c>
      <c r="W173" s="2">
        <v>4081.5853699999998</v>
      </c>
      <c r="Y173" s="2">
        <v>570</v>
      </c>
      <c r="Z173" s="2">
        <v>77849.453299999994</v>
      </c>
      <c r="AD173" s="2">
        <v>650</v>
      </c>
      <c r="AE173" s="2">
        <v>24162.848419999998</v>
      </c>
      <c r="AG173" s="2">
        <v>650</v>
      </c>
      <c r="AH173" s="2">
        <v>10714.07487</v>
      </c>
    </row>
    <row r="174" spans="2:34" x14ac:dyDescent="0.2">
      <c r="B174" s="2">
        <v>651</v>
      </c>
      <c r="C174" s="2">
        <v>364.27519000000001</v>
      </c>
      <c r="E174" s="2">
        <v>791</v>
      </c>
      <c r="F174" s="2">
        <v>1151.72804</v>
      </c>
      <c r="K174" s="2">
        <v>571</v>
      </c>
      <c r="L174" s="2">
        <v>420.62358</v>
      </c>
      <c r="P174" s="2">
        <v>651</v>
      </c>
      <c r="Q174" s="7">
        <v>1343.74775</v>
      </c>
      <c r="V174" s="2">
        <v>791</v>
      </c>
      <c r="W174" s="2">
        <v>3114.8610100000001</v>
      </c>
      <c r="Y174" s="2">
        <v>571</v>
      </c>
      <c r="Z174" s="2">
        <v>82071.875029999996</v>
      </c>
      <c r="AD174" s="2">
        <v>651</v>
      </c>
      <c r="AE174" s="2">
        <v>26150.446759999999</v>
      </c>
      <c r="AG174" s="2">
        <v>651</v>
      </c>
      <c r="AH174" s="2">
        <v>11340.29493</v>
      </c>
    </row>
    <row r="175" spans="2:34" x14ac:dyDescent="0.2">
      <c r="B175" s="2">
        <v>652</v>
      </c>
      <c r="C175" s="2">
        <v>275.52375999999998</v>
      </c>
      <c r="E175" s="2">
        <v>792</v>
      </c>
      <c r="F175" s="2">
        <v>17.916620000000002</v>
      </c>
      <c r="K175" s="2">
        <v>572</v>
      </c>
      <c r="L175" s="2">
        <v>289.43687999999997</v>
      </c>
      <c r="P175" s="2">
        <v>652</v>
      </c>
      <c r="Q175" s="7">
        <v>1328.8293100000001</v>
      </c>
      <c r="V175" s="2">
        <v>792</v>
      </c>
      <c r="W175" s="2">
        <v>4345.6918999999998</v>
      </c>
      <c r="Y175" s="2">
        <v>572</v>
      </c>
      <c r="Z175" s="2">
        <v>84900.957630000004</v>
      </c>
      <c r="AD175" s="2">
        <v>652</v>
      </c>
      <c r="AE175" s="2">
        <v>28529.61966</v>
      </c>
      <c r="AG175" s="2">
        <v>652</v>
      </c>
      <c r="AH175" s="2">
        <v>12380.86159</v>
      </c>
    </row>
    <row r="176" spans="2:34" x14ac:dyDescent="0.2">
      <c r="B176" s="2">
        <v>653</v>
      </c>
      <c r="C176" s="2">
        <v>219.42786000000001</v>
      </c>
      <c r="E176" s="2">
        <v>793</v>
      </c>
      <c r="F176" s="2">
        <v>562.16863999999998</v>
      </c>
      <c r="K176" s="2">
        <v>573</v>
      </c>
      <c r="L176" s="2">
        <v>233.874</v>
      </c>
      <c r="P176" s="2">
        <v>653</v>
      </c>
      <c r="Q176" s="7">
        <v>1428.9439</v>
      </c>
      <c r="V176" s="2">
        <v>793</v>
      </c>
      <c r="W176" s="2">
        <v>3222.3905100000002</v>
      </c>
      <c r="Y176" s="2">
        <v>573</v>
      </c>
      <c r="Z176" s="2">
        <v>89604.80287</v>
      </c>
      <c r="AD176" s="2">
        <v>653</v>
      </c>
      <c r="AE176" s="2">
        <v>29951.51757</v>
      </c>
      <c r="AG176" s="2">
        <v>653</v>
      </c>
      <c r="AH176" s="2">
        <v>13024.34866</v>
      </c>
    </row>
    <row r="177" spans="2:34" x14ac:dyDescent="0.2">
      <c r="B177" s="2">
        <v>654</v>
      </c>
      <c r="C177" s="2">
        <v>276.54388999999998</v>
      </c>
      <c r="E177" s="2">
        <v>794</v>
      </c>
      <c r="F177" s="2">
        <v>1118.2356299999999</v>
      </c>
      <c r="K177" s="2">
        <v>574</v>
      </c>
      <c r="L177" s="2">
        <v>54.16189</v>
      </c>
      <c r="P177" s="2">
        <v>654</v>
      </c>
      <c r="Q177" s="7">
        <v>1234.5136</v>
      </c>
      <c r="V177" s="2">
        <v>794</v>
      </c>
      <c r="W177" s="2">
        <v>2719.6467899999998</v>
      </c>
      <c r="Y177" s="2">
        <v>574</v>
      </c>
      <c r="Z177" s="2">
        <v>94950.442379999993</v>
      </c>
      <c r="AD177" s="2">
        <v>654</v>
      </c>
      <c r="AE177" s="2">
        <v>32450.08037</v>
      </c>
      <c r="AG177" s="2">
        <v>654</v>
      </c>
      <c r="AH177" s="2">
        <v>14051.40365</v>
      </c>
    </row>
    <row r="178" spans="2:34" x14ac:dyDescent="0.2">
      <c r="B178" s="2">
        <v>655</v>
      </c>
      <c r="C178" s="2">
        <v>239.97614999999999</v>
      </c>
      <c r="E178" s="2">
        <v>795</v>
      </c>
      <c r="F178" s="2">
        <v>1462.0139200000001</v>
      </c>
      <c r="K178" s="2">
        <v>575</v>
      </c>
      <c r="L178" s="2">
        <v>245.20428000000001</v>
      </c>
      <c r="P178" s="2">
        <v>655</v>
      </c>
      <c r="Q178" s="7">
        <v>1265.38256</v>
      </c>
      <c r="V178" s="2">
        <v>795</v>
      </c>
      <c r="W178" s="2">
        <v>3113.2231999999999</v>
      </c>
      <c r="Y178" s="2">
        <v>575</v>
      </c>
      <c r="Z178" s="2">
        <v>98137.754029999996</v>
      </c>
      <c r="AD178" s="2">
        <v>655</v>
      </c>
      <c r="AE178" s="2">
        <v>33720.24727</v>
      </c>
      <c r="AG178" s="2">
        <v>655</v>
      </c>
      <c r="AH178" s="2">
        <v>14427.49992</v>
      </c>
    </row>
    <row r="179" spans="2:34" x14ac:dyDescent="0.2">
      <c r="B179" s="2">
        <v>656</v>
      </c>
      <c r="C179" s="2">
        <v>205.29768999999999</v>
      </c>
      <c r="E179" s="2">
        <v>796</v>
      </c>
      <c r="F179" s="2">
        <v>-242.78704999999999</v>
      </c>
      <c r="K179" s="2">
        <v>576</v>
      </c>
      <c r="L179" s="2">
        <v>92.758089999999996</v>
      </c>
      <c r="P179" s="2">
        <v>656</v>
      </c>
      <c r="Q179" s="7">
        <v>1368.4294</v>
      </c>
      <c r="V179" s="2">
        <v>796</v>
      </c>
      <c r="W179" s="2">
        <v>3363.8339500000002</v>
      </c>
      <c r="Y179" s="2">
        <v>576</v>
      </c>
      <c r="Z179" s="2">
        <v>101494.47026</v>
      </c>
      <c r="AD179" s="2">
        <v>656</v>
      </c>
      <c r="AE179" s="2">
        <v>35890.961669999997</v>
      </c>
      <c r="AG179" s="2">
        <v>656</v>
      </c>
      <c r="AH179" s="2">
        <v>14600.909470000001</v>
      </c>
    </row>
    <row r="180" spans="2:34" x14ac:dyDescent="0.2">
      <c r="B180" s="2">
        <v>657</v>
      </c>
      <c r="C180" s="2">
        <v>296.60989999999998</v>
      </c>
      <c r="E180" s="2">
        <v>797</v>
      </c>
      <c r="F180" s="2">
        <v>94.279439999999994</v>
      </c>
      <c r="K180" s="2">
        <v>577</v>
      </c>
      <c r="L180" s="2">
        <v>313.53796</v>
      </c>
      <c r="P180" s="2">
        <v>657</v>
      </c>
      <c r="Q180" s="7">
        <v>1151.4844399999999</v>
      </c>
      <c r="V180" s="2">
        <v>797</v>
      </c>
      <c r="W180" s="2">
        <v>2616.2381300000002</v>
      </c>
      <c r="Y180" s="2">
        <v>577</v>
      </c>
      <c r="Z180" s="2">
        <v>106341.96024</v>
      </c>
      <c r="AD180" s="2">
        <v>657</v>
      </c>
      <c r="AE180" s="2">
        <v>37123.810109999999</v>
      </c>
      <c r="AG180" s="2">
        <v>657</v>
      </c>
      <c r="AH180" s="2">
        <v>15997.10421</v>
      </c>
    </row>
    <row r="181" spans="2:34" x14ac:dyDescent="0.2">
      <c r="B181" s="2">
        <v>658</v>
      </c>
      <c r="C181" s="2">
        <v>239.96287000000001</v>
      </c>
      <c r="E181" s="2">
        <v>798</v>
      </c>
      <c r="F181" s="2">
        <v>743.45429999999999</v>
      </c>
      <c r="K181" s="2">
        <v>578</v>
      </c>
      <c r="L181" s="2">
        <v>-41.297609999999999</v>
      </c>
      <c r="P181" s="2">
        <v>658</v>
      </c>
      <c r="Q181" s="7">
        <v>1207.08088</v>
      </c>
      <c r="V181" s="2">
        <v>798</v>
      </c>
      <c r="W181" s="2">
        <v>3353.0848099999998</v>
      </c>
      <c r="Y181" s="2">
        <v>578</v>
      </c>
      <c r="Z181" s="2">
        <v>110705.07919999999</v>
      </c>
      <c r="AD181" s="2">
        <v>658</v>
      </c>
      <c r="AE181" s="2">
        <v>39137.31061</v>
      </c>
      <c r="AG181" s="2">
        <v>658</v>
      </c>
      <c r="AH181" s="2">
        <v>16633.457450000002</v>
      </c>
    </row>
    <row r="182" spans="2:34" x14ac:dyDescent="0.2">
      <c r="B182" s="2">
        <v>659</v>
      </c>
      <c r="C182" s="2">
        <v>187.51675</v>
      </c>
      <c r="E182" s="2">
        <v>799</v>
      </c>
      <c r="F182" s="2">
        <v>1020.35536</v>
      </c>
      <c r="K182" s="2">
        <v>579</v>
      </c>
      <c r="L182" s="2">
        <v>410.59124000000003</v>
      </c>
      <c r="P182" s="2">
        <v>659</v>
      </c>
      <c r="Q182" s="7">
        <v>1189.61283</v>
      </c>
      <c r="V182" s="2">
        <v>799</v>
      </c>
      <c r="W182" s="2">
        <v>2857.0450900000001</v>
      </c>
      <c r="Y182" s="2">
        <v>579</v>
      </c>
      <c r="Z182" s="2">
        <v>114540.31642</v>
      </c>
      <c r="AD182" s="2">
        <v>659</v>
      </c>
      <c r="AE182" s="2">
        <v>40165.80704</v>
      </c>
      <c r="AG182" s="2">
        <v>659</v>
      </c>
      <c r="AH182" s="2">
        <v>16903.514279999999</v>
      </c>
    </row>
    <row r="183" spans="2:34" x14ac:dyDescent="0.2">
      <c r="B183" s="2">
        <v>660</v>
      </c>
      <c r="C183" s="2">
        <v>245.67930000000001</v>
      </c>
      <c r="E183" s="2">
        <v>800</v>
      </c>
      <c r="F183" s="2">
        <v>-174.76132000000001</v>
      </c>
      <c r="K183" s="2">
        <v>580</v>
      </c>
      <c r="L183" s="2">
        <v>189.45334</v>
      </c>
      <c r="P183" s="2">
        <v>660</v>
      </c>
      <c r="Q183" s="7">
        <v>1086.69507</v>
      </c>
      <c r="V183" s="2">
        <v>800</v>
      </c>
      <c r="W183" s="2">
        <v>2771.3410899999999</v>
      </c>
      <c r="Y183" s="2">
        <v>580</v>
      </c>
      <c r="Z183" s="2">
        <v>121633.51979000001</v>
      </c>
      <c r="AD183" s="2">
        <v>660</v>
      </c>
      <c r="AE183" s="2">
        <v>41167.843200000003</v>
      </c>
      <c r="AG183" s="2">
        <v>660</v>
      </c>
      <c r="AH183" s="2">
        <v>17431.295590000002</v>
      </c>
    </row>
    <row r="184" spans="2:34" x14ac:dyDescent="0.2">
      <c r="B184" s="2">
        <v>661</v>
      </c>
      <c r="C184" s="2">
        <v>242.81844000000001</v>
      </c>
      <c r="K184" s="2">
        <v>581</v>
      </c>
      <c r="L184" s="2">
        <v>295.13819999999998</v>
      </c>
      <c r="P184" s="2">
        <v>661</v>
      </c>
      <c r="Q184" s="7">
        <v>1023.84262</v>
      </c>
      <c r="Y184" s="2">
        <v>581</v>
      </c>
      <c r="Z184" s="2">
        <v>126600.94680999999</v>
      </c>
      <c r="AD184" s="2">
        <v>661</v>
      </c>
      <c r="AE184" s="2">
        <v>42719.067929999997</v>
      </c>
      <c r="AG184" s="2">
        <v>661</v>
      </c>
      <c r="AH184" s="2">
        <v>17848.59994</v>
      </c>
    </row>
    <row r="185" spans="2:34" x14ac:dyDescent="0.2">
      <c r="B185" s="2">
        <v>662</v>
      </c>
      <c r="C185" s="2">
        <v>245.93333999999999</v>
      </c>
      <c r="K185" s="2">
        <v>582</v>
      </c>
      <c r="L185" s="2">
        <v>160.2063</v>
      </c>
      <c r="P185" s="2">
        <v>662</v>
      </c>
      <c r="Q185" s="7">
        <v>1009.9231600000001</v>
      </c>
      <c r="Y185" s="2">
        <v>582</v>
      </c>
      <c r="Z185" s="2">
        <v>132630.86186</v>
      </c>
      <c r="AD185" s="2">
        <v>662</v>
      </c>
      <c r="AE185" s="2">
        <v>43157.201200000003</v>
      </c>
      <c r="AG185" s="2">
        <v>662</v>
      </c>
      <c r="AH185" s="2">
        <v>18061.107220000002</v>
      </c>
    </row>
    <row r="186" spans="2:34" x14ac:dyDescent="0.2">
      <c r="B186" s="2">
        <v>663</v>
      </c>
      <c r="C186" s="2">
        <v>266.33823999999998</v>
      </c>
      <c r="K186" s="2">
        <v>583</v>
      </c>
      <c r="L186" s="2">
        <v>73.779309999999995</v>
      </c>
      <c r="P186" s="2">
        <v>663</v>
      </c>
      <c r="Q186" s="7">
        <v>1133.03882</v>
      </c>
      <c r="Y186" s="2">
        <v>583</v>
      </c>
      <c r="Z186" s="2">
        <v>139286.28479999999</v>
      </c>
      <c r="AD186" s="2">
        <v>663</v>
      </c>
      <c r="AE186" s="2">
        <v>44025.625959999998</v>
      </c>
      <c r="AG186" s="2">
        <v>663</v>
      </c>
      <c r="AH186" s="2">
        <v>18284.730159999999</v>
      </c>
    </row>
    <row r="187" spans="2:34" x14ac:dyDescent="0.2">
      <c r="B187" s="2">
        <v>664</v>
      </c>
      <c r="C187" s="2">
        <v>225.62231</v>
      </c>
      <c r="K187" s="2">
        <v>584</v>
      </c>
      <c r="L187" s="2">
        <v>351.79372000000001</v>
      </c>
      <c r="P187" s="2">
        <v>664</v>
      </c>
      <c r="Q187" s="7">
        <v>1127.78051</v>
      </c>
      <c r="Y187" s="2">
        <v>584</v>
      </c>
      <c r="Z187" s="2">
        <v>144627.02175000001</v>
      </c>
      <c r="AD187" s="2">
        <v>664</v>
      </c>
      <c r="AE187" s="2">
        <v>44311.65382</v>
      </c>
      <c r="AG187" s="2">
        <v>664</v>
      </c>
      <c r="AH187" s="2">
        <v>18490.609550000001</v>
      </c>
    </row>
    <row r="188" spans="2:34" x14ac:dyDescent="0.2">
      <c r="B188" s="2">
        <v>665</v>
      </c>
      <c r="C188" s="2">
        <v>275.87927000000002</v>
      </c>
      <c r="K188" s="2">
        <v>585</v>
      </c>
      <c r="L188" s="2">
        <v>179.87996999999999</v>
      </c>
      <c r="P188" s="2">
        <v>665</v>
      </c>
      <c r="Q188" s="7">
        <v>1061.0271</v>
      </c>
      <c r="Y188" s="2">
        <v>585</v>
      </c>
      <c r="Z188" s="2">
        <v>151535.03029</v>
      </c>
      <c r="AD188" s="2">
        <v>665</v>
      </c>
      <c r="AE188" s="2">
        <v>44328.593930000003</v>
      </c>
      <c r="AG188" s="2">
        <v>665</v>
      </c>
      <c r="AH188" s="2">
        <v>18551.78299</v>
      </c>
    </row>
    <row r="189" spans="2:34" x14ac:dyDescent="0.2">
      <c r="B189" s="2">
        <v>666</v>
      </c>
      <c r="C189" s="2">
        <v>309.60041000000001</v>
      </c>
      <c r="K189" s="2">
        <v>586</v>
      </c>
      <c r="L189" s="2">
        <v>334.97879999999998</v>
      </c>
      <c r="P189" s="2">
        <v>666</v>
      </c>
      <c r="Q189" s="7">
        <v>925.17317000000003</v>
      </c>
      <c r="Y189" s="2">
        <v>586</v>
      </c>
      <c r="Z189" s="2">
        <v>156870.82420999999</v>
      </c>
      <c r="AD189" s="2">
        <v>666</v>
      </c>
      <c r="AE189" s="2">
        <v>44387.008900000001</v>
      </c>
      <c r="AG189" s="2">
        <v>666</v>
      </c>
      <c r="AH189" s="2">
        <v>18791.844700000001</v>
      </c>
    </row>
    <row r="190" spans="2:34" x14ac:dyDescent="0.2">
      <c r="B190" s="2">
        <v>667</v>
      </c>
      <c r="C190" s="2">
        <v>221.94241</v>
      </c>
      <c r="K190" s="2">
        <v>587</v>
      </c>
      <c r="L190" s="2">
        <v>239.57165000000001</v>
      </c>
      <c r="P190" s="2">
        <v>667</v>
      </c>
      <c r="Q190" s="7">
        <v>907.93604000000005</v>
      </c>
      <c r="Y190" s="2">
        <v>587</v>
      </c>
      <c r="Z190" s="2">
        <v>162412.71158999999</v>
      </c>
      <c r="AD190" s="2">
        <v>667</v>
      </c>
      <c r="AE190" s="2">
        <v>44688.938190000001</v>
      </c>
      <c r="AG190" s="2">
        <v>667</v>
      </c>
      <c r="AH190" s="2">
        <v>18142.588230000001</v>
      </c>
    </row>
    <row r="191" spans="2:34" x14ac:dyDescent="0.2">
      <c r="B191" s="2">
        <v>668</v>
      </c>
      <c r="C191" s="2">
        <v>233.89168000000001</v>
      </c>
      <c r="K191" s="2">
        <v>588</v>
      </c>
      <c r="L191" s="2">
        <v>493.82736999999997</v>
      </c>
      <c r="P191" s="2">
        <v>668</v>
      </c>
      <c r="Q191" s="7">
        <v>1002.42958</v>
      </c>
      <c r="Y191" s="2">
        <v>588</v>
      </c>
      <c r="Z191" s="2">
        <v>168228.77582000001</v>
      </c>
      <c r="AD191" s="2">
        <v>668</v>
      </c>
      <c r="AE191" s="2">
        <v>43803.813219999996</v>
      </c>
      <c r="AG191" s="2">
        <v>668</v>
      </c>
      <c r="AH191" s="2">
        <v>18271.396489999999</v>
      </c>
    </row>
    <row r="192" spans="2:34" x14ac:dyDescent="0.2">
      <c r="B192" s="2">
        <v>669</v>
      </c>
      <c r="C192" s="2">
        <v>284.30090000000001</v>
      </c>
      <c r="K192" s="2">
        <v>589</v>
      </c>
      <c r="L192" s="2">
        <v>310.93000999999998</v>
      </c>
      <c r="P192" s="2">
        <v>669</v>
      </c>
      <c r="Q192" s="7">
        <v>869.81916000000001</v>
      </c>
      <c r="Y192" s="2">
        <v>589</v>
      </c>
      <c r="Z192" s="2">
        <v>174050.95396000001</v>
      </c>
      <c r="AD192" s="2">
        <v>669</v>
      </c>
      <c r="AE192" s="2">
        <v>42613.423020000002</v>
      </c>
      <c r="AG192" s="2">
        <v>669</v>
      </c>
      <c r="AH192" s="2">
        <v>18190.98661</v>
      </c>
    </row>
    <row r="193" spans="2:34" x14ac:dyDescent="0.2">
      <c r="B193" s="2">
        <v>670</v>
      </c>
      <c r="C193" s="2">
        <v>272.36121000000003</v>
      </c>
      <c r="K193" s="2">
        <v>590</v>
      </c>
      <c r="L193" s="2">
        <v>204.91164000000001</v>
      </c>
      <c r="P193" s="2">
        <v>670</v>
      </c>
      <c r="Q193" s="7">
        <v>862.64364</v>
      </c>
      <c r="Y193" s="2">
        <v>590</v>
      </c>
      <c r="Z193" s="2">
        <v>180294.84354</v>
      </c>
      <c r="AD193" s="2">
        <v>670</v>
      </c>
      <c r="AE193" s="2">
        <v>42692.299859999999</v>
      </c>
      <c r="AG193" s="2">
        <v>670</v>
      </c>
      <c r="AH193" s="2">
        <v>17462.72638</v>
      </c>
    </row>
    <row r="194" spans="2:34" x14ac:dyDescent="0.2">
      <c r="B194" s="2">
        <v>671</v>
      </c>
      <c r="C194" s="2">
        <v>431.20177000000001</v>
      </c>
      <c r="K194" s="2">
        <v>591</v>
      </c>
      <c r="L194" s="2">
        <v>147.06665000000001</v>
      </c>
      <c r="P194" s="2">
        <v>671</v>
      </c>
      <c r="Q194" s="7">
        <v>846.75775999999996</v>
      </c>
      <c r="Y194" s="2">
        <v>591</v>
      </c>
      <c r="Z194" s="2">
        <v>183967.59748999999</v>
      </c>
      <c r="AD194" s="2">
        <v>671</v>
      </c>
      <c r="AE194" s="2">
        <v>40257.017520000001</v>
      </c>
      <c r="AG194" s="2">
        <v>671</v>
      </c>
      <c r="AH194" s="2">
        <v>17018.656490000001</v>
      </c>
    </row>
    <row r="195" spans="2:34" x14ac:dyDescent="0.2">
      <c r="B195" s="2">
        <v>672</v>
      </c>
      <c r="C195" s="2">
        <v>322.96719999999999</v>
      </c>
      <c r="K195" s="2">
        <v>592</v>
      </c>
      <c r="L195" s="2">
        <v>290.76902999999999</v>
      </c>
      <c r="P195" s="2">
        <v>672</v>
      </c>
      <c r="Q195" s="7">
        <v>810.86053000000004</v>
      </c>
      <c r="Y195" s="2">
        <v>592</v>
      </c>
      <c r="Z195" s="2">
        <v>189632.00570000001</v>
      </c>
      <c r="AD195" s="2">
        <v>672</v>
      </c>
      <c r="AE195" s="2">
        <v>39725.317230000001</v>
      </c>
      <c r="AG195" s="2">
        <v>672</v>
      </c>
      <c r="AH195" s="2">
        <v>16587.138640000001</v>
      </c>
    </row>
    <row r="196" spans="2:34" x14ac:dyDescent="0.2">
      <c r="B196" s="2">
        <v>673</v>
      </c>
      <c r="C196" s="2">
        <v>310.85665</v>
      </c>
      <c r="K196" s="2">
        <v>593</v>
      </c>
      <c r="L196" s="2">
        <v>416.47107999999997</v>
      </c>
      <c r="P196" s="2">
        <v>673</v>
      </c>
      <c r="Q196" s="7">
        <v>930.52274999999997</v>
      </c>
      <c r="Y196" s="2">
        <v>593</v>
      </c>
      <c r="Z196" s="2">
        <v>194960.65852999999</v>
      </c>
      <c r="AD196" s="2">
        <v>673</v>
      </c>
      <c r="AE196" s="2">
        <v>37976.553820000001</v>
      </c>
      <c r="AG196" s="2">
        <v>673</v>
      </c>
      <c r="AH196" s="2">
        <v>15479.043960000001</v>
      </c>
    </row>
    <row r="197" spans="2:34" x14ac:dyDescent="0.2">
      <c r="B197" s="2">
        <v>674</v>
      </c>
      <c r="C197" s="2">
        <v>288.3639</v>
      </c>
      <c r="K197" s="2">
        <v>594</v>
      </c>
      <c r="L197" s="2">
        <v>286.87276000000003</v>
      </c>
      <c r="P197" s="2">
        <v>674</v>
      </c>
      <c r="Q197" s="7">
        <v>749.62885000000006</v>
      </c>
      <c r="Y197" s="2">
        <v>594</v>
      </c>
      <c r="Z197" s="2">
        <v>198658.73558000001</v>
      </c>
      <c r="AD197" s="2">
        <v>674</v>
      </c>
      <c r="AE197" s="2">
        <v>36772.468399999998</v>
      </c>
      <c r="AG197" s="2">
        <v>674</v>
      </c>
      <c r="AH197" s="2">
        <v>15544.421609999999</v>
      </c>
    </row>
    <row r="198" spans="2:34" x14ac:dyDescent="0.2">
      <c r="B198" s="2">
        <v>675</v>
      </c>
      <c r="C198" s="2">
        <v>299.32461999999998</v>
      </c>
      <c r="K198" s="2">
        <v>595</v>
      </c>
      <c r="L198" s="2">
        <v>332.49227000000002</v>
      </c>
      <c r="P198" s="2">
        <v>675</v>
      </c>
      <c r="Q198" s="7">
        <v>772.76886999999999</v>
      </c>
      <c r="Y198" s="2">
        <v>595</v>
      </c>
      <c r="Z198" s="2">
        <v>201684.22333000001</v>
      </c>
      <c r="AD198" s="2">
        <v>675</v>
      </c>
      <c r="AE198" s="2">
        <v>35658.783320000002</v>
      </c>
      <c r="AG198" s="2">
        <v>675</v>
      </c>
      <c r="AH198" s="2">
        <v>14961.82834</v>
      </c>
    </row>
    <row r="199" spans="2:34" x14ac:dyDescent="0.2">
      <c r="B199" s="2">
        <v>676</v>
      </c>
      <c r="C199" s="2">
        <v>348.77839999999998</v>
      </c>
      <c r="K199" s="2">
        <v>596</v>
      </c>
      <c r="L199" s="2">
        <v>293.68002000000001</v>
      </c>
      <c r="P199" s="2">
        <v>676</v>
      </c>
      <c r="Q199" s="7">
        <v>825.61816999999996</v>
      </c>
      <c r="Y199" s="2">
        <v>596</v>
      </c>
      <c r="Z199" s="2">
        <v>200926.44276000001</v>
      </c>
      <c r="AD199" s="2">
        <v>676</v>
      </c>
      <c r="AE199" s="2">
        <v>34040.43417</v>
      </c>
      <c r="AG199" s="2">
        <v>676</v>
      </c>
      <c r="AH199" s="2">
        <v>14444.05666</v>
      </c>
    </row>
    <row r="200" spans="2:34" x14ac:dyDescent="0.2">
      <c r="B200" s="2">
        <v>677</v>
      </c>
      <c r="C200" s="2">
        <v>283.60631000000001</v>
      </c>
      <c r="K200" s="2">
        <v>597</v>
      </c>
      <c r="L200" s="2">
        <v>-46.152700000000003</v>
      </c>
      <c r="P200" s="2">
        <v>677</v>
      </c>
      <c r="Q200" s="7">
        <v>814.47364000000005</v>
      </c>
      <c r="Y200" s="2">
        <v>597</v>
      </c>
      <c r="Z200" s="2">
        <v>207608.60324999999</v>
      </c>
      <c r="AD200" s="2">
        <v>677</v>
      </c>
      <c r="AE200" s="2">
        <v>32932.97825</v>
      </c>
      <c r="AG200" s="2">
        <v>677</v>
      </c>
      <c r="AH200" s="2">
        <v>14225.961359999999</v>
      </c>
    </row>
    <row r="201" spans="2:34" x14ac:dyDescent="0.2">
      <c r="B201" s="2">
        <v>678</v>
      </c>
      <c r="C201" s="2">
        <v>198.47685000000001</v>
      </c>
      <c r="K201" s="2">
        <v>598</v>
      </c>
      <c r="L201" s="2">
        <v>397.18292000000002</v>
      </c>
      <c r="P201" s="2">
        <v>678</v>
      </c>
      <c r="Q201" s="7">
        <v>811.39886999999999</v>
      </c>
      <c r="Y201" s="2">
        <v>598</v>
      </c>
      <c r="Z201" s="2">
        <v>207965.00599999999</v>
      </c>
      <c r="AD201" s="2">
        <v>678</v>
      </c>
      <c r="AE201" s="2">
        <v>31497.490450000001</v>
      </c>
      <c r="AG201" s="2">
        <v>678</v>
      </c>
      <c r="AH201" s="2">
        <v>13585.06151</v>
      </c>
    </row>
    <row r="202" spans="2:34" x14ac:dyDescent="0.2">
      <c r="B202" s="2">
        <v>679</v>
      </c>
      <c r="C202" s="2">
        <v>360.39368999999999</v>
      </c>
      <c r="K202" s="2">
        <v>599</v>
      </c>
      <c r="L202" s="2">
        <v>40.315150000000003</v>
      </c>
      <c r="P202" s="2">
        <v>679</v>
      </c>
      <c r="Q202" s="7">
        <v>725.48703</v>
      </c>
      <c r="Y202" s="2">
        <v>599</v>
      </c>
      <c r="Z202" s="2">
        <v>208253.38209999999</v>
      </c>
      <c r="AD202" s="2">
        <v>679</v>
      </c>
      <c r="AE202" s="2">
        <v>30384.785609999999</v>
      </c>
      <c r="AG202" s="2">
        <v>679</v>
      </c>
      <c r="AH202" s="2">
        <v>12672.15438</v>
      </c>
    </row>
    <row r="203" spans="2:34" x14ac:dyDescent="0.2">
      <c r="B203" s="2">
        <v>680</v>
      </c>
      <c r="C203" s="2">
        <v>354.37097</v>
      </c>
      <c r="K203" s="2">
        <v>600</v>
      </c>
      <c r="L203" s="2">
        <v>7.69278</v>
      </c>
      <c r="P203" s="2">
        <v>680</v>
      </c>
      <c r="Q203" s="7">
        <v>837.52836000000002</v>
      </c>
      <c r="Y203" s="2">
        <v>600</v>
      </c>
      <c r="Z203" s="2">
        <v>211966.27160000001</v>
      </c>
      <c r="AD203" s="2">
        <v>680</v>
      </c>
      <c r="AE203" s="2">
        <v>28248.849129999999</v>
      </c>
      <c r="AG203" s="2">
        <v>680</v>
      </c>
      <c r="AH203" s="2">
        <v>12482.183709999999</v>
      </c>
    </row>
    <row r="204" spans="2:34" x14ac:dyDescent="0.2">
      <c r="B204" s="2">
        <v>681</v>
      </c>
      <c r="C204" s="2">
        <v>247.81675000000001</v>
      </c>
      <c r="K204" s="2">
        <v>601</v>
      </c>
      <c r="L204" s="2">
        <v>107.48231</v>
      </c>
      <c r="P204" s="2">
        <v>681</v>
      </c>
      <c r="Q204" s="7">
        <v>750.86973</v>
      </c>
      <c r="Y204" s="2">
        <v>601</v>
      </c>
      <c r="Z204" s="2">
        <v>209401.94912</v>
      </c>
      <c r="AD204" s="2">
        <v>681</v>
      </c>
      <c r="AE204" s="2">
        <v>27765.060819999999</v>
      </c>
      <c r="AG204" s="2">
        <v>681</v>
      </c>
      <c r="AH204" s="2">
        <v>11448.972900000001</v>
      </c>
    </row>
    <row r="205" spans="2:34" x14ac:dyDescent="0.2">
      <c r="B205" s="2">
        <v>682</v>
      </c>
      <c r="C205" s="2">
        <v>353.48845999999998</v>
      </c>
      <c r="K205" s="2">
        <v>602</v>
      </c>
      <c r="L205" s="2">
        <v>342.72746999999998</v>
      </c>
      <c r="P205" s="2">
        <v>682</v>
      </c>
      <c r="Q205" s="7">
        <v>668.60663999999997</v>
      </c>
      <c r="Y205" s="2">
        <v>602</v>
      </c>
      <c r="Z205" s="2">
        <v>210147.02638</v>
      </c>
      <c r="AD205" s="2">
        <v>682</v>
      </c>
      <c r="AE205" s="2">
        <v>26505.694950000001</v>
      </c>
      <c r="AG205" s="2">
        <v>682</v>
      </c>
      <c r="AH205" s="2">
        <v>10750.5144</v>
      </c>
    </row>
    <row r="206" spans="2:34" x14ac:dyDescent="0.2">
      <c r="B206" s="2">
        <v>683</v>
      </c>
      <c r="C206" s="2">
        <v>358.37650000000002</v>
      </c>
      <c r="K206" s="2">
        <v>603</v>
      </c>
      <c r="L206" s="2">
        <v>221.14779999999999</v>
      </c>
      <c r="P206" s="2">
        <v>683</v>
      </c>
      <c r="Q206" s="7">
        <v>663.98609999999996</v>
      </c>
      <c r="Y206" s="2">
        <v>603</v>
      </c>
      <c r="Z206" s="2">
        <v>211144.46958</v>
      </c>
      <c r="AD206" s="2">
        <v>683</v>
      </c>
      <c r="AE206" s="2">
        <v>25243.741259999999</v>
      </c>
      <c r="AG206" s="2">
        <v>683</v>
      </c>
      <c r="AH206" s="2">
        <v>10575.213369999999</v>
      </c>
    </row>
    <row r="207" spans="2:34" x14ac:dyDescent="0.2">
      <c r="B207" s="2">
        <v>684</v>
      </c>
      <c r="C207" s="2">
        <v>301.14877000000001</v>
      </c>
      <c r="K207" s="2">
        <v>604</v>
      </c>
      <c r="L207" s="2">
        <v>594.57743000000005</v>
      </c>
      <c r="P207" s="2">
        <v>684</v>
      </c>
      <c r="Q207" s="7">
        <v>627.75584000000003</v>
      </c>
      <c r="Y207" s="2">
        <v>604</v>
      </c>
      <c r="Z207" s="2">
        <v>211872.96528</v>
      </c>
      <c r="AD207" s="2">
        <v>684</v>
      </c>
      <c r="AE207" s="2">
        <v>23917.188190000001</v>
      </c>
      <c r="AG207" s="2">
        <v>684</v>
      </c>
      <c r="AH207" s="2">
        <v>10259.14863</v>
      </c>
    </row>
    <row r="208" spans="2:34" x14ac:dyDescent="0.2">
      <c r="B208" s="2">
        <v>685</v>
      </c>
      <c r="C208" s="2">
        <v>356.35617999999999</v>
      </c>
      <c r="K208" s="2">
        <v>605</v>
      </c>
      <c r="L208" s="2">
        <v>189.35668999999999</v>
      </c>
      <c r="P208" s="2">
        <v>685</v>
      </c>
      <c r="Q208" s="7">
        <v>780.64824999999996</v>
      </c>
      <c r="Y208" s="2">
        <v>605</v>
      </c>
      <c r="Z208" s="2">
        <v>211784.89722000001</v>
      </c>
      <c r="AD208" s="2">
        <v>685</v>
      </c>
      <c r="AE208" s="2">
        <v>22467.010480000001</v>
      </c>
      <c r="AG208" s="2">
        <v>685</v>
      </c>
      <c r="AH208" s="2">
        <v>9779.9740000000002</v>
      </c>
    </row>
    <row r="209" spans="2:34" x14ac:dyDescent="0.2">
      <c r="B209" s="2">
        <v>686</v>
      </c>
      <c r="C209" s="2">
        <v>261.79959000000002</v>
      </c>
      <c r="K209" s="2">
        <v>606</v>
      </c>
      <c r="L209" s="2">
        <v>303.47354000000001</v>
      </c>
      <c r="P209" s="2">
        <v>686</v>
      </c>
      <c r="Q209" s="7">
        <v>617.39995999999996</v>
      </c>
      <c r="Y209" s="2">
        <v>606</v>
      </c>
      <c r="Z209" s="2">
        <v>213286.47003999999</v>
      </c>
      <c r="AD209" s="2">
        <v>686</v>
      </c>
      <c r="AE209" s="2">
        <v>21321.177049999998</v>
      </c>
      <c r="AG209" s="2">
        <v>686</v>
      </c>
      <c r="AH209" s="2">
        <v>9167.9621700000007</v>
      </c>
    </row>
    <row r="210" spans="2:34" x14ac:dyDescent="0.2">
      <c r="B210" s="2">
        <v>687</v>
      </c>
      <c r="C210" s="2">
        <v>423.72910999999999</v>
      </c>
      <c r="K210" s="2">
        <v>607</v>
      </c>
      <c r="L210" s="2">
        <v>212.98137</v>
      </c>
      <c r="P210" s="2">
        <v>687</v>
      </c>
      <c r="Q210" s="7">
        <v>698.20786999999996</v>
      </c>
      <c r="Y210" s="2">
        <v>607</v>
      </c>
      <c r="Z210" s="2">
        <v>211230.35240999999</v>
      </c>
      <c r="AD210" s="2">
        <v>687</v>
      </c>
      <c r="AE210" s="2">
        <v>19903.40193</v>
      </c>
      <c r="AG210" s="2">
        <v>687</v>
      </c>
      <c r="AH210" s="2">
        <v>8695.8475699999999</v>
      </c>
    </row>
    <row r="211" spans="2:34" x14ac:dyDescent="0.2">
      <c r="B211" s="2">
        <v>688</v>
      </c>
      <c r="C211" s="2">
        <v>433.93209000000002</v>
      </c>
      <c r="K211" s="2">
        <v>608</v>
      </c>
      <c r="L211" s="2">
        <v>30.744250000000001</v>
      </c>
      <c r="P211" s="2">
        <v>688</v>
      </c>
      <c r="Q211" s="7">
        <v>615.45681999999999</v>
      </c>
      <c r="Y211" s="2">
        <v>608</v>
      </c>
      <c r="Z211" s="2">
        <v>214228.74473000001</v>
      </c>
      <c r="AD211" s="2">
        <v>688</v>
      </c>
      <c r="AE211" s="2">
        <v>19299.238659999999</v>
      </c>
      <c r="AG211" s="2">
        <v>688</v>
      </c>
      <c r="AH211" s="2">
        <v>8515.1617200000001</v>
      </c>
    </row>
    <row r="212" spans="2:34" x14ac:dyDescent="0.2">
      <c r="B212" s="2">
        <v>689</v>
      </c>
      <c r="C212" s="2">
        <v>323.67009999999999</v>
      </c>
      <c r="K212" s="2">
        <v>609</v>
      </c>
      <c r="L212" s="2">
        <v>382.91640999999998</v>
      </c>
      <c r="P212" s="2">
        <v>689</v>
      </c>
      <c r="Q212" s="7">
        <v>664.71010999999999</v>
      </c>
      <c r="Y212" s="2">
        <v>609</v>
      </c>
      <c r="Z212" s="2">
        <v>212840.54829000001</v>
      </c>
      <c r="AD212" s="2">
        <v>689</v>
      </c>
      <c r="AE212" s="2">
        <v>18854.551090000001</v>
      </c>
      <c r="AG212" s="2">
        <v>689</v>
      </c>
      <c r="AH212" s="2">
        <v>8103.7932700000001</v>
      </c>
    </row>
    <row r="213" spans="2:34" x14ac:dyDescent="0.2">
      <c r="B213" s="2">
        <v>690</v>
      </c>
      <c r="C213" s="2">
        <v>361.63767000000001</v>
      </c>
      <c r="K213" s="2">
        <v>610</v>
      </c>
      <c r="L213" s="2">
        <v>234.58946</v>
      </c>
      <c r="P213" s="2">
        <v>690</v>
      </c>
      <c r="Q213" s="7">
        <v>657.53711999999996</v>
      </c>
      <c r="Y213" s="2">
        <v>610</v>
      </c>
      <c r="Z213" s="2">
        <v>218285.09643999999</v>
      </c>
      <c r="AD213" s="2">
        <v>690</v>
      </c>
      <c r="AE213" s="2">
        <v>17731.237450000001</v>
      </c>
      <c r="AG213" s="2">
        <v>690</v>
      </c>
      <c r="AH213" s="2">
        <v>7544.9940299999998</v>
      </c>
    </row>
    <row r="214" spans="2:34" x14ac:dyDescent="0.2">
      <c r="B214" s="2">
        <v>691</v>
      </c>
      <c r="C214" s="2">
        <v>457.22397999999998</v>
      </c>
      <c r="K214" s="2">
        <v>611</v>
      </c>
      <c r="L214" s="2">
        <v>594.75203999999997</v>
      </c>
      <c r="P214" s="2">
        <v>691</v>
      </c>
      <c r="Q214" s="7">
        <v>464.09152999999998</v>
      </c>
      <c r="Y214" s="2">
        <v>611</v>
      </c>
      <c r="Z214" s="2">
        <v>219587.13122000001</v>
      </c>
      <c r="AD214" s="2">
        <v>691</v>
      </c>
      <c r="AE214" s="2">
        <v>16897.059280000001</v>
      </c>
      <c r="AG214" s="2">
        <v>691</v>
      </c>
      <c r="AH214" s="2">
        <v>7074.5344800000003</v>
      </c>
    </row>
    <row r="215" spans="2:34" x14ac:dyDescent="0.2">
      <c r="B215" s="2">
        <v>692</v>
      </c>
      <c r="C215" s="2">
        <v>546.97749999999996</v>
      </c>
      <c r="K215" s="2">
        <v>612</v>
      </c>
      <c r="L215" s="2">
        <v>300.02661999999998</v>
      </c>
      <c r="P215" s="2">
        <v>692</v>
      </c>
      <c r="Q215" s="7">
        <v>681.65661</v>
      </c>
      <c r="Y215" s="2">
        <v>612</v>
      </c>
      <c r="Z215" s="2">
        <v>220483.4376</v>
      </c>
      <c r="AD215" s="2">
        <v>692</v>
      </c>
      <c r="AE215" s="2">
        <v>16028.95808</v>
      </c>
      <c r="AG215" s="2">
        <v>692</v>
      </c>
      <c r="AH215" s="2">
        <v>6847.4435299999996</v>
      </c>
    </row>
    <row r="216" spans="2:34" x14ac:dyDescent="0.2">
      <c r="B216" s="2">
        <v>693</v>
      </c>
      <c r="C216" s="2">
        <v>497.36383000000001</v>
      </c>
      <c r="K216" s="2">
        <v>613</v>
      </c>
      <c r="L216" s="2">
        <v>-226.90405000000001</v>
      </c>
      <c r="P216" s="2">
        <v>693</v>
      </c>
      <c r="Q216" s="7">
        <v>668.90922999999998</v>
      </c>
      <c r="Y216" s="2">
        <v>613</v>
      </c>
      <c r="Z216" s="2">
        <v>229037.04993000001</v>
      </c>
      <c r="AD216" s="2">
        <v>693</v>
      </c>
      <c r="AE216" s="2">
        <v>15559.964739999999</v>
      </c>
      <c r="AG216" s="2">
        <v>693</v>
      </c>
      <c r="AH216" s="2">
        <v>7423.2375899999997</v>
      </c>
    </row>
    <row r="217" spans="2:34" x14ac:dyDescent="0.2">
      <c r="B217" s="2">
        <v>694</v>
      </c>
      <c r="C217" s="2">
        <v>445.75477000000001</v>
      </c>
      <c r="K217" s="2">
        <v>614</v>
      </c>
      <c r="L217" s="2">
        <v>207.96543</v>
      </c>
      <c r="P217" s="2">
        <v>694</v>
      </c>
      <c r="Q217" s="7">
        <v>577.15781000000004</v>
      </c>
      <c r="Y217" s="2">
        <v>614</v>
      </c>
      <c r="Z217" s="2">
        <v>229355.88170999999</v>
      </c>
      <c r="AD217" s="2">
        <v>694</v>
      </c>
      <c r="AE217" s="2">
        <v>14571.185100000001</v>
      </c>
      <c r="AG217" s="2">
        <v>694</v>
      </c>
      <c r="AH217" s="2">
        <v>6276.4309300000004</v>
      </c>
    </row>
    <row r="218" spans="2:34" x14ac:dyDescent="0.2">
      <c r="B218" s="2">
        <v>695</v>
      </c>
      <c r="C218" s="2">
        <v>474.75256000000002</v>
      </c>
      <c r="K218" s="2">
        <v>615</v>
      </c>
      <c r="L218" s="2">
        <v>407.10453999999999</v>
      </c>
      <c r="P218" s="2">
        <v>695</v>
      </c>
      <c r="Q218" s="7">
        <v>656.41851999999994</v>
      </c>
      <c r="Y218" s="2">
        <v>615</v>
      </c>
      <c r="Z218" s="2">
        <v>237914.35146000001</v>
      </c>
      <c r="AD218" s="2">
        <v>695</v>
      </c>
      <c r="AE218" s="2">
        <v>14208.558139999999</v>
      </c>
      <c r="AG218" s="2">
        <v>695</v>
      </c>
      <c r="AH218" s="2">
        <v>6064.9467100000002</v>
      </c>
    </row>
    <row r="219" spans="2:34" x14ac:dyDescent="0.2">
      <c r="B219" s="2">
        <v>696</v>
      </c>
      <c r="C219" s="2">
        <v>453.66759000000002</v>
      </c>
      <c r="K219" s="2">
        <v>616</v>
      </c>
      <c r="L219" s="2">
        <v>227.86997</v>
      </c>
      <c r="P219" s="2">
        <v>696</v>
      </c>
      <c r="Q219" s="7">
        <v>420.01251999999999</v>
      </c>
      <c r="Y219" s="2">
        <v>616</v>
      </c>
      <c r="Z219" s="2">
        <v>241772.52208</v>
      </c>
      <c r="AD219" s="2">
        <v>696</v>
      </c>
      <c r="AE219" s="2">
        <v>13892.327219999999</v>
      </c>
      <c r="AG219" s="2">
        <v>696</v>
      </c>
      <c r="AH219" s="2">
        <v>6093.4548500000001</v>
      </c>
    </row>
    <row r="220" spans="2:34" x14ac:dyDescent="0.2">
      <c r="B220" s="2">
        <v>697</v>
      </c>
      <c r="C220" s="2">
        <v>524.95905000000005</v>
      </c>
      <c r="K220" s="2">
        <v>617</v>
      </c>
      <c r="L220" s="2">
        <v>183.04381000000001</v>
      </c>
      <c r="P220" s="2">
        <v>697</v>
      </c>
      <c r="Q220" s="7">
        <v>623.13887</v>
      </c>
      <c r="Y220" s="2">
        <v>617</v>
      </c>
      <c r="Z220" s="2">
        <v>252620.39365000001</v>
      </c>
      <c r="AD220" s="2">
        <v>697</v>
      </c>
      <c r="AE220" s="2">
        <v>13028.359930000001</v>
      </c>
      <c r="AG220" s="2">
        <v>697</v>
      </c>
      <c r="AH220" s="2">
        <v>5741.2129199999999</v>
      </c>
    </row>
    <row r="221" spans="2:34" x14ac:dyDescent="0.2">
      <c r="B221" s="2">
        <v>698</v>
      </c>
      <c r="C221" s="2">
        <v>366.30029000000002</v>
      </c>
      <c r="K221" s="2">
        <v>618</v>
      </c>
      <c r="L221" s="2">
        <v>117.02825</v>
      </c>
      <c r="P221" s="2">
        <v>698</v>
      </c>
      <c r="Q221" s="7">
        <v>455.00898000000001</v>
      </c>
      <c r="Y221" s="2">
        <v>618</v>
      </c>
      <c r="Z221" s="2">
        <v>258829.51793</v>
      </c>
      <c r="AD221" s="2">
        <v>698</v>
      </c>
      <c r="AE221" s="2">
        <v>13069.963040000001</v>
      </c>
      <c r="AG221" s="2">
        <v>698</v>
      </c>
      <c r="AH221" s="2">
        <v>5216.47678</v>
      </c>
    </row>
    <row r="222" spans="2:34" x14ac:dyDescent="0.2">
      <c r="B222" s="2">
        <v>699</v>
      </c>
      <c r="C222" s="2">
        <v>399.68666000000002</v>
      </c>
      <c r="K222" s="2">
        <v>619</v>
      </c>
      <c r="L222" s="2">
        <v>84.407349999999994</v>
      </c>
      <c r="P222" s="2">
        <v>699</v>
      </c>
      <c r="Q222" s="7">
        <v>743.45759999999996</v>
      </c>
      <c r="Y222" s="2">
        <v>619</v>
      </c>
      <c r="Z222" s="2">
        <v>273102.18209999998</v>
      </c>
      <c r="AD222" s="2">
        <v>699</v>
      </c>
      <c r="AE222" s="2">
        <v>12151.86888</v>
      </c>
      <c r="AG222" s="2">
        <v>699</v>
      </c>
      <c r="AH222" s="2">
        <v>5562.8180000000002</v>
      </c>
    </row>
    <row r="223" spans="2:34" x14ac:dyDescent="0.2">
      <c r="B223" s="2">
        <v>700</v>
      </c>
      <c r="C223" s="2">
        <v>385.29838999999998</v>
      </c>
      <c r="K223" s="2">
        <v>620</v>
      </c>
      <c r="L223" s="2">
        <v>107.56258</v>
      </c>
      <c r="P223" s="2">
        <v>700</v>
      </c>
      <c r="Q223" s="7">
        <v>538.04166999999995</v>
      </c>
      <c r="Y223" s="2">
        <v>620</v>
      </c>
      <c r="Z223" s="2">
        <v>283685.0576</v>
      </c>
      <c r="AD223" s="2">
        <v>700</v>
      </c>
      <c r="AE223" s="2">
        <v>11889.32856</v>
      </c>
      <c r="AG223" s="2">
        <v>700</v>
      </c>
      <c r="AH223" s="2">
        <v>5282.8004099999998</v>
      </c>
    </row>
    <row r="224" spans="2:34" x14ac:dyDescent="0.2">
      <c r="B224" s="2">
        <v>701</v>
      </c>
      <c r="C224" s="2">
        <v>479.37302</v>
      </c>
      <c r="K224" s="2">
        <v>621</v>
      </c>
      <c r="L224" s="2">
        <v>412.94277</v>
      </c>
      <c r="P224" s="2">
        <v>701</v>
      </c>
      <c r="Q224" s="7">
        <v>521.54913999999997</v>
      </c>
      <c r="Y224" s="2">
        <v>621</v>
      </c>
      <c r="Z224" s="2">
        <v>291382.12471</v>
      </c>
      <c r="AD224" s="2">
        <v>701</v>
      </c>
      <c r="AE224" s="2">
        <v>11511.346219999999</v>
      </c>
      <c r="AG224" s="2">
        <v>701</v>
      </c>
      <c r="AH224" s="2">
        <v>4816.6443300000001</v>
      </c>
    </row>
    <row r="225" spans="2:34" x14ac:dyDescent="0.2">
      <c r="B225" s="2">
        <v>702</v>
      </c>
      <c r="C225" s="2">
        <v>495.97113999999999</v>
      </c>
      <c r="K225" s="2">
        <v>622</v>
      </c>
      <c r="L225" s="2">
        <v>202.51411999999999</v>
      </c>
      <c r="P225" s="2">
        <v>702</v>
      </c>
      <c r="Q225" s="7">
        <v>527.99904000000004</v>
      </c>
      <c r="Y225" s="2">
        <v>622</v>
      </c>
      <c r="Z225" s="2">
        <v>303921.02218000003</v>
      </c>
      <c r="AD225" s="2">
        <v>702</v>
      </c>
      <c r="AE225" s="2">
        <v>11214.093629999999</v>
      </c>
      <c r="AG225" s="2">
        <v>702</v>
      </c>
      <c r="AH225" s="2">
        <v>4704.4514099999997</v>
      </c>
    </row>
    <row r="226" spans="2:34" x14ac:dyDescent="0.2">
      <c r="B226" s="2">
        <v>703</v>
      </c>
      <c r="C226" s="2">
        <v>442.22086999999999</v>
      </c>
      <c r="K226" s="2">
        <v>623</v>
      </c>
      <c r="L226" s="2">
        <v>89.857919999999993</v>
      </c>
      <c r="P226" s="2">
        <v>703</v>
      </c>
      <c r="Q226" s="7">
        <v>589.57916999999998</v>
      </c>
      <c r="Y226" s="2">
        <v>623</v>
      </c>
      <c r="Z226" s="2">
        <v>316462.17106000002</v>
      </c>
      <c r="AD226" s="2">
        <v>703</v>
      </c>
      <c r="AE226" s="2">
        <v>10802.93269</v>
      </c>
      <c r="AG226" s="2">
        <v>703</v>
      </c>
      <c r="AH226" s="2">
        <v>4587.7947100000001</v>
      </c>
    </row>
    <row r="227" spans="2:34" x14ac:dyDescent="0.2">
      <c r="B227" s="2">
        <v>704</v>
      </c>
      <c r="C227" s="2">
        <v>411.77726000000001</v>
      </c>
      <c r="K227" s="2">
        <v>624</v>
      </c>
      <c r="L227" s="2">
        <v>483.17198000000002</v>
      </c>
      <c r="P227" s="2">
        <v>704</v>
      </c>
      <c r="Q227" s="7">
        <v>673.35826999999995</v>
      </c>
      <c r="Y227" s="2">
        <v>624</v>
      </c>
      <c r="Z227" s="2">
        <v>331042.79414999997</v>
      </c>
      <c r="AD227" s="2">
        <v>704</v>
      </c>
      <c r="AE227" s="2">
        <v>10721.22544</v>
      </c>
      <c r="AG227" s="2">
        <v>704</v>
      </c>
      <c r="AH227" s="2">
        <v>4704.1454000000003</v>
      </c>
    </row>
    <row r="228" spans="2:34" x14ac:dyDescent="0.2">
      <c r="B228" s="2">
        <v>705</v>
      </c>
      <c r="C228" s="2">
        <v>395.68338999999997</v>
      </c>
      <c r="K228" s="2">
        <v>625</v>
      </c>
      <c r="L228" s="2">
        <v>201.20586</v>
      </c>
      <c r="P228" s="2">
        <v>705</v>
      </c>
      <c r="Q228" s="7">
        <v>702.19557999999995</v>
      </c>
      <c r="Y228" s="2">
        <v>625</v>
      </c>
      <c r="Z228" s="2">
        <v>346709.15438999998</v>
      </c>
      <c r="AD228" s="2">
        <v>705</v>
      </c>
      <c r="AE228" s="2">
        <v>10127.028829999999</v>
      </c>
      <c r="AG228" s="2">
        <v>705</v>
      </c>
      <c r="AH228" s="2">
        <v>4637.4946900000004</v>
      </c>
    </row>
    <row r="229" spans="2:34" x14ac:dyDescent="0.2">
      <c r="B229" s="2">
        <v>706</v>
      </c>
      <c r="C229" s="2">
        <v>564.40899999999999</v>
      </c>
      <c r="K229" s="2">
        <v>626</v>
      </c>
      <c r="L229" s="2">
        <v>508.85075000000001</v>
      </c>
      <c r="P229" s="2">
        <v>706</v>
      </c>
      <c r="Q229" s="7">
        <v>624.08306000000005</v>
      </c>
      <c r="Y229" s="2">
        <v>626</v>
      </c>
      <c r="Z229" s="2">
        <v>364802.55249999999</v>
      </c>
      <c r="AD229" s="2">
        <v>706</v>
      </c>
      <c r="AE229" s="2">
        <v>9953.8408199999994</v>
      </c>
      <c r="AG229" s="2">
        <v>706</v>
      </c>
      <c r="AH229" s="2">
        <v>4461.3814499999999</v>
      </c>
    </row>
    <row r="230" spans="2:34" x14ac:dyDescent="0.2">
      <c r="B230" s="2">
        <v>707</v>
      </c>
      <c r="C230" s="2">
        <v>646.92109000000005</v>
      </c>
      <c r="K230" s="2">
        <v>627</v>
      </c>
      <c r="L230" s="2">
        <v>-52.953519999999997</v>
      </c>
      <c r="P230" s="2">
        <v>707</v>
      </c>
      <c r="Q230" s="7">
        <v>569.51597000000004</v>
      </c>
      <c r="Y230" s="2">
        <v>627</v>
      </c>
      <c r="Z230" s="2">
        <v>382376.60008</v>
      </c>
      <c r="AD230" s="2">
        <v>707</v>
      </c>
      <c r="AE230" s="2">
        <v>9624.0259800000003</v>
      </c>
      <c r="AG230" s="2">
        <v>707</v>
      </c>
      <c r="AH230" s="2">
        <v>4153.4439899999998</v>
      </c>
    </row>
    <row r="231" spans="2:34" x14ac:dyDescent="0.2">
      <c r="B231" s="2">
        <v>708</v>
      </c>
      <c r="C231" s="2">
        <v>370.31659999999999</v>
      </c>
      <c r="K231" s="2">
        <v>628</v>
      </c>
      <c r="L231" s="2">
        <v>132.94460000000001</v>
      </c>
      <c r="P231" s="2">
        <v>708</v>
      </c>
      <c r="Q231" s="7">
        <v>524.96821999999997</v>
      </c>
      <c r="Y231" s="2">
        <v>628</v>
      </c>
      <c r="Z231" s="2">
        <v>398633.84318999999</v>
      </c>
      <c r="AD231" s="2">
        <v>708</v>
      </c>
      <c r="AE231" s="2">
        <v>9512.1713299999992</v>
      </c>
      <c r="AG231" s="2">
        <v>708</v>
      </c>
      <c r="AH231" s="2">
        <v>4263.7300500000001</v>
      </c>
    </row>
    <row r="232" spans="2:34" x14ac:dyDescent="0.2">
      <c r="B232" s="2">
        <v>709</v>
      </c>
      <c r="C232" s="2">
        <v>391.99781999999999</v>
      </c>
      <c r="K232" s="2">
        <v>629</v>
      </c>
      <c r="L232" s="2">
        <v>359.22519</v>
      </c>
      <c r="P232" s="2">
        <v>709</v>
      </c>
      <c r="Q232" s="7">
        <v>823.18398000000002</v>
      </c>
      <c r="Y232" s="2">
        <v>629</v>
      </c>
      <c r="Z232" s="2">
        <v>424734.40591999999</v>
      </c>
      <c r="AD232" s="2">
        <v>709</v>
      </c>
      <c r="AE232" s="2">
        <v>9530.4363599999997</v>
      </c>
      <c r="AG232" s="2">
        <v>709</v>
      </c>
      <c r="AH232" s="2">
        <v>4126.8343199999999</v>
      </c>
    </row>
    <row r="233" spans="2:34" x14ac:dyDescent="0.2">
      <c r="B233" s="2">
        <v>710</v>
      </c>
      <c r="C233" s="2">
        <v>625.40702999999996</v>
      </c>
      <c r="K233" s="2">
        <v>630</v>
      </c>
      <c r="L233" s="2">
        <v>-117.73854</v>
      </c>
      <c r="P233" s="2">
        <v>710</v>
      </c>
      <c r="Q233" s="7">
        <v>446.82691</v>
      </c>
      <c r="Y233" s="2">
        <v>630</v>
      </c>
      <c r="Z233" s="2">
        <v>443602.04408999998</v>
      </c>
      <c r="AD233" s="2">
        <v>710</v>
      </c>
      <c r="AE233" s="2">
        <v>9073.7766499999998</v>
      </c>
      <c r="AG233" s="2">
        <v>710</v>
      </c>
      <c r="AH233" s="2">
        <v>4035.5887200000002</v>
      </c>
    </row>
    <row r="234" spans="2:34" x14ac:dyDescent="0.2">
      <c r="B234" s="2">
        <v>711</v>
      </c>
      <c r="C234" s="2">
        <v>567.48829999999998</v>
      </c>
      <c r="K234" s="2">
        <v>631</v>
      </c>
      <c r="L234" s="2">
        <v>227.32637</v>
      </c>
      <c r="P234" s="2">
        <v>711</v>
      </c>
      <c r="Q234" s="7">
        <v>537.23575000000005</v>
      </c>
      <c r="Y234" s="2">
        <v>631</v>
      </c>
      <c r="Z234" s="2">
        <v>469043.69574</v>
      </c>
      <c r="AD234" s="2">
        <v>711</v>
      </c>
      <c r="AE234" s="2">
        <v>9431.5575399999998</v>
      </c>
      <c r="AG234" s="2">
        <v>711</v>
      </c>
      <c r="AH234" s="2">
        <v>4037.0084900000002</v>
      </c>
    </row>
    <row r="235" spans="2:34" x14ac:dyDescent="0.2">
      <c r="B235" s="2">
        <v>712</v>
      </c>
      <c r="C235" s="2">
        <v>616.19399999999996</v>
      </c>
      <c r="K235" s="2">
        <v>632</v>
      </c>
      <c r="L235" s="2">
        <v>494.22246000000001</v>
      </c>
      <c r="P235" s="2">
        <v>712</v>
      </c>
      <c r="Q235" s="7">
        <v>550.99760000000003</v>
      </c>
      <c r="Y235" s="2">
        <v>632</v>
      </c>
      <c r="Z235" s="2">
        <v>490368.73443000001</v>
      </c>
      <c r="AD235" s="2">
        <v>712</v>
      </c>
      <c r="AE235" s="2">
        <v>9602.6002499999995</v>
      </c>
      <c r="AG235" s="2">
        <v>712</v>
      </c>
      <c r="AH235" s="2">
        <v>4018.99523</v>
      </c>
    </row>
    <row r="236" spans="2:34" x14ac:dyDescent="0.2">
      <c r="B236" s="2">
        <v>713</v>
      </c>
      <c r="C236" s="2">
        <v>525.33160999999996</v>
      </c>
      <c r="K236" s="2">
        <v>633</v>
      </c>
      <c r="L236" s="2">
        <v>344.63013000000001</v>
      </c>
      <c r="P236" s="2">
        <v>713</v>
      </c>
      <c r="Q236" s="7">
        <v>592.95719999999994</v>
      </c>
      <c r="Y236" s="2">
        <v>633</v>
      </c>
      <c r="Z236" s="2">
        <v>509896.19014999998</v>
      </c>
      <c r="AD236" s="2">
        <v>713</v>
      </c>
      <c r="AE236" s="2">
        <v>9205.2700600000007</v>
      </c>
      <c r="AG236" s="2">
        <v>713</v>
      </c>
      <c r="AH236" s="2">
        <v>4333.6442200000001</v>
      </c>
    </row>
    <row r="237" spans="2:34" x14ac:dyDescent="0.2">
      <c r="B237" s="2">
        <v>714</v>
      </c>
      <c r="C237" s="2">
        <v>609.45902999999998</v>
      </c>
      <c r="K237" s="2">
        <v>634</v>
      </c>
      <c r="L237" s="2">
        <v>256.41714999999999</v>
      </c>
      <c r="P237" s="2">
        <v>714</v>
      </c>
      <c r="Q237" s="7">
        <v>409.78795000000002</v>
      </c>
      <c r="Y237" s="2">
        <v>634</v>
      </c>
      <c r="Z237" s="2">
        <v>539374.52280999999</v>
      </c>
      <c r="AD237" s="2">
        <v>714</v>
      </c>
      <c r="AE237" s="2">
        <v>8975.4641100000008</v>
      </c>
      <c r="AG237" s="2">
        <v>714</v>
      </c>
      <c r="AH237" s="2">
        <v>3964.7547100000002</v>
      </c>
    </row>
    <row r="238" spans="2:34" x14ac:dyDescent="0.2">
      <c r="B238" s="2">
        <v>715</v>
      </c>
      <c r="C238" s="2">
        <v>409.66516000000001</v>
      </c>
      <c r="K238" s="2">
        <v>635</v>
      </c>
      <c r="L238" s="2">
        <v>386.57593000000003</v>
      </c>
      <c r="P238" s="2">
        <v>715</v>
      </c>
      <c r="Q238" s="7">
        <v>557.02282000000002</v>
      </c>
      <c r="Y238" s="2">
        <v>635</v>
      </c>
      <c r="Z238" s="2">
        <v>554044.57328000001</v>
      </c>
      <c r="AD238" s="2">
        <v>715</v>
      </c>
      <c r="AE238" s="2">
        <v>8794.5886599999994</v>
      </c>
      <c r="AG238" s="2">
        <v>715</v>
      </c>
      <c r="AH238" s="2">
        <v>4128.0707300000004</v>
      </c>
    </row>
    <row r="239" spans="2:34" x14ac:dyDescent="0.2">
      <c r="B239" s="2">
        <v>716</v>
      </c>
      <c r="C239" s="2">
        <v>264.50662</v>
      </c>
      <c r="K239" s="2">
        <v>636</v>
      </c>
      <c r="L239" s="2">
        <v>208.05626000000001</v>
      </c>
      <c r="P239" s="2">
        <v>716</v>
      </c>
      <c r="Q239" s="7">
        <v>619.86006999999995</v>
      </c>
      <c r="Y239" s="2">
        <v>636</v>
      </c>
      <c r="Z239" s="2">
        <v>572435.75421000004</v>
      </c>
      <c r="AD239" s="2">
        <v>716</v>
      </c>
      <c r="AE239" s="2">
        <v>8806.6068300000006</v>
      </c>
      <c r="AG239" s="2">
        <v>716</v>
      </c>
      <c r="AH239" s="2">
        <v>3873.8920499999999</v>
      </c>
    </row>
    <row r="240" spans="2:34" x14ac:dyDescent="0.2">
      <c r="B240" s="2">
        <v>717</v>
      </c>
      <c r="C240" s="2">
        <v>600.18430999999998</v>
      </c>
      <c r="K240" s="2">
        <v>637</v>
      </c>
      <c r="L240" s="2">
        <v>539.33587999999997</v>
      </c>
      <c r="P240" s="2">
        <v>717</v>
      </c>
      <c r="Q240" s="7">
        <v>588.08915999999999</v>
      </c>
      <c r="Y240" s="2">
        <v>637</v>
      </c>
      <c r="Z240" s="2">
        <v>590944.69979999994</v>
      </c>
      <c r="AD240" s="2">
        <v>717</v>
      </c>
      <c r="AE240" s="2">
        <v>8876.5280199999997</v>
      </c>
      <c r="AG240" s="2">
        <v>717</v>
      </c>
      <c r="AH240" s="2">
        <v>3774.0844499999998</v>
      </c>
    </row>
    <row r="241" spans="2:34" x14ac:dyDescent="0.2">
      <c r="B241" s="2">
        <v>718</v>
      </c>
      <c r="C241" s="2">
        <v>360.05614000000003</v>
      </c>
      <c r="K241" s="2">
        <v>638</v>
      </c>
      <c r="L241" s="2">
        <v>428.48619000000002</v>
      </c>
      <c r="P241" s="2">
        <v>718</v>
      </c>
      <c r="Q241" s="7">
        <v>516.66876999999999</v>
      </c>
      <c r="Y241" s="2">
        <v>638</v>
      </c>
      <c r="Z241" s="2">
        <v>614009.47279999999</v>
      </c>
      <c r="AD241" s="2">
        <v>718</v>
      </c>
      <c r="AE241" s="2">
        <v>8502.6538899999996</v>
      </c>
      <c r="AG241" s="2">
        <v>718</v>
      </c>
      <c r="AH241" s="2">
        <v>3891.90771</v>
      </c>
    </row>
    <row r="242" spans="2:34" x14ac:dyDescent="0.2">
      <c r="B242" s="2">
        <v>719</v>
      </c>
      <c r="C242" s="2">
        <v>619.42317000000003</v>
      </c>
      <c r="K242" s="2">
        <v>639</v>
      </c>
      <c r="L242" s="2">
        <v>342.81698999999998</v>
      </c>
      <c r="P242" s="2">
        <v>719</v>
      </c>
      <c r="Q242" s="7">
        <v>600.53485000000001</v>
      </c>
      <c r="Y242" s="2">
        <v>639</v>
      </c>
      <c r="Z242" s="2">
        <v>631150.3406</v>
      </c>
      <c r="AD242" s="2">
        <v>719</v>
      </c>
      <c r="AE242" s="2">
        <v>8805.0713599999999</v>
      </c>
      <c r="AG242" s="2">
        <v>719</v>
      </c>
      <c r="AH242" s="2">
        <v>4066.94065</v>
      </c>
    </row>
    <row r="243" spans="2:34" x14ac:dyDescent="0.2">
      <c r="B243" s="2">
        <v>720</v>
      </c>
      <c r="C243" s="2">
        <v>693.75372000000004</v>
      </c>
      <c r="K243" s="2">
        <v>640</v>
      </c>
      <c r="L243" s="2">
        <v>-4.3468999999999998</v>
      </c>
      <c r="P243" s="2">
        <v>720</v>
      </c>
      <c r="Q243" s="7">
        <v>596.61878999999999</v>
      </c>
      <c r="Y243" s="2">
        <v>640</v>
      </c>
      <c r="Z243" s="2">
        <v>641636.58632</v>
      </c>
      <c r="AD243" s="2">
        <v>720</v>
      </c>
      <c r="AE243" s="2">
        <v>8484.64293</v>
      </c>
      <c r="AG243" s="2">
        <v>720</v>
      </c>
      <c r="AH243" s="2">
        <v>3847.36978</v>
      </c>
    </row>
    <row r="244" spans="2:34" x14ac:dyDescent="0.2">
      <c r="B244" s="2">
        <v>721</v>
      </c>
      <c r="C244" s="2">
        <v>612.86014999999998</v>
      </c>
      <c r="K244" s="2">
        <v>641</v>
      </c>
      <c r="L244" s="2">
        <v>400.02091999999999</v>
      </c>
      <c r="P244" s="2">
        <v>721</v>
      </c>
      <c r="Q244" s="7">
        <v>515.95366000000001</v>
      </c>
      <c r="Y244" s="2">
        <v>641</v>
      </c>
      <c r="Z244" s="2">
        <v>653852.70354999998</v>
      </c>
      <c r="AD244" s="2">
        <v>721</v>
      </c>
      <c r="AE244" s="2">
        <v>7908.0479699999996</v>
      </c>
      <c r="AG244" s="2">
        <v>721</v>
      </c>
      <c r="AH244" s="2">
        <v>3975.94346</v>
      </c>
    </row>
    <row r="245" spans="2:34" x14ac:dyDescent="0.2">
      <c r="B245" s="2">
        <v>722</v>
      </c>
      <c r="C245" s="2">
        <v>264.25232999999997</v>
      </c>
      <c r="K245" s="2">
        <v>642</v>
      </c>
      <c r="L245" s="2">
        <v>339.07517000000001</v>
      </c>
      <c r="P245" s="2">
        <v>722</v>
      </c>
      <c r="Q245" s="7">
        <v>668.60717999999997</v>
      </c>
      <c r="Y245" s="2">
        <v>642</v>
      </c>
      <c r="Z245" s="2">
        <v>666994.05743000004</v>
      </c>
      <c r="AD245" s="2">
        <v>722</v>
      </c>
      <c r="AE245" s="2">
        <v>8211.5968499999999</v>
      </c>
      <c r="AG245" s="2">
        <v>722</v>
      </c>
      <c r="AH245" s="2">
        <v>3652.5632000000001</v>
      </c>
    </row>
    <row r="246" spans="2:34" x14ac:dyDescent="0.2">
      <c r="B246" s="2">
        <v>723</v>
      </c>
      <c r="C246" s="2">
        <v>546.52396999999996</v>
      </c>
      <c r="K246" s="2">
        <v>643</v>
      </c>
      <c r="L246" s="2">
        <v>-131.18440000000001</v>
      </c>
      <c r="P246" s="2">
        <v>723</v>
      </c>
      <c r="Q246" s="7">
        <v>551.90029000000004</v>
      </c>
      <c r="Y246" s="2">
        <v>643</v>
      </c>
      <c r="Z246" s="2">
        <v>677660.13913000003</v>
      </c>
      <c r="AD246" s="2">
        <v>723</v>
      </c>
      <c r="AE246" s="2">
        <v>8340.0385100000003</v>
      </c>
      <c r="AG246" s="2">
        <v>723</v>
      </c>
      <c r="AH246" s="2">
        <v>3498.4576499999998</v>
      </c>
    </row>
    <row r="247" spans="2:34" x14ac:dyDescent="0.2">
      <c r="B247" s="2">
        <v>724</v>
      </c>
      <c r="C247" s="2">
        <v>582.25711999999999</v>
      </c>
      <c r="K247" s="2">
        <v>644</v>
      </c>
      <c r="L247" s="2">
        <v>340.32598000000002</v>
      </c>
      <c r="P247" s="2">
        <v>724</v>
      </c>
      <c r="Q247" s="7">
        <v>439.37774999999999</v>
      </c>
      <c r="Y247" s="2">
        <v>644</v>
      </c>
      <c r="Z247" s="2">
        <v>680649.73175000004</v>
      </c>
      <c r="AD247" s="2">
        <v>724</v>
      </c>
      <c r="AE247" s="2">
        <v>7905.3947500000004</v>
      </c>
      <c r="AG247" s="2">
        <v>724</v>
      </c>
      <c r="AH247" s="2">
        <v>3715.6053999999999</v>
      </c>
    </row>
    <row r="248" spans="2:34" x14ac:dyDescent="0.2">
      <c r="B248" s="2">
        <v>725</v>
      </c>
      <c r="C248" s="2">
        <v>556.02727000000004</v>
      </c>
      <c r="K248" s="2">
        <v>645</v>
      </c>
      <c r="L248" s="2">
        <v>530.41503999999998</v>
      </c>
      <c r="P248" s="2">
        <v>725</v>
      </c>
      <c r="Q248" s="7">
        <v>577.00867000000005</v>
      </c>
      <c r="Y248" s="2">
        <v>645</v>
      </c>
      <c r="Z248" s="2">
        <v>688264.91338000004</v>
      </c>
      <c r="AD248" s="2">
        <v>725</v>
      </c>
      <c r="AE248" s="2">
        <v>8009.9895100000003</v>
      </c>
      <c r="AG248" s="2">
        <v>725</v>
      </c>
      <c r="AH248" s="2">
        <v>3621.3089799999998</v>
      </c>
    </row>
    <row r="249" spans="2:34" x14ac:dyDescent="0.2">
      <c r="B249" s="2">
        <v>726</v>
      </c>
      <c r="C249" s="2">
        <v>635.51431000000002</v>
      </c>
      <c r="K249" s="2">
        <v>646</v>
      </c>
      <c r="L249" s="2">
        <v>503.00213000000002</v>
      </c>
      <c r="P249" s="2">
        <v>726</v>
      </c>
      <c r="Q249" s="7">
        <v>411.76837999999998</v>
      </c>
      <c r="Y249" s="2">
        <v>646</v>
      </c>
      <c r="Z249" s="2">
        <v>680342.26723999996</v>
      </c>
      <c r="AD249" s="2">
        <v>726</v>
      </c>
      <c r="AE249" s="2">
        <v>7789.8962199999996</v>
      </c>
      <c r="AG249" s="2">
        <v>726</v>
      </c>
      <c r="AH249" s="2">
        <v>3191.6916999999999</v>
      </c>
    </row>
    <row r="250" spans="2:34" x14ac:dyDescent="0.2">
      <c r="B250" s="2">
        <v>727</v>
      </c>
      <c r="C250" s="2">
        <v>436.37797999999998</v>
      </c>
      <c r="K250" s="2">
        <v>647</v>
      </c>
      <c r="L250" s="2">
        <v>405.73271</v>
      </c>
      <c r="P250" s="2">
        <v>727</v>
      </c>
      <c r="Q250" s="7">
        <v>489.48950000000002</v>
      </c>
      <c r="Y250" s="2">
        <v>647</v>
      </c>
      <c r="Z250" s="2">
        <v>681426.85161999997</v>
      </c>
      <c r="AD250" s="2">
        <v>727</v>
      </c>
      <c r="AE250" s="2">
        <v>7627.4808599999997</v>
      </c>
      <c r="AG250" s="2">
        <v>727</v>
      </c>
      <c r="AH250" s="2">
        <v>3769.0483100000001</v>
      </c>
    </row>
    <row r="251" spans="2:34" x14ac:dyDescent="0.2">
      <c r="B251" s="2">
        <v>728</v>
      </c>
      <c r="C251" s="2">
        <v>640.06336999999996</v>
      </c>
      <c r="K251" s="2">
        <v>648</v>
      </c>
      <c r="L251" s="2">
        <v>188.42241999999999</v>
      </c>
      <c r="P251" s="2">
        <v>728</v>
      </c>
      <c r="Q251" s="7">
        <v>677.50820999999996</v>
      </c>
      <c r="Y251" s="2">
        <v>648</v>
      </c>
      <c r="Z251" s="2">
        <v>672674.11219999997</v>
      </c>
      <c r="AD251" s="2">
        <v>728</v>
      </c>
      <c r="AE251" s="2">
        <v>8142.5590499999998</v>
      </c>
      <c r="AG251" s="2">
        <v>728</v>
      </c>
      <c r="AH251" s="2">
        <v>3764.07863</v>
      </c>
    </row>
    <row r="252" spans="2:34" x14ac:dyDescent="0.2">
      <c r="B252" s="2">
        <v>729</v>
      </c>
      <c r="C252" s="2">
        <v>650.97905000000003</v>
      </c>
      <c r="K252" s="2">
        <v>649</v>
      </c>
      <c r="L252" s="2">
        <v>465.85673000000003</v>
      </c>
      <c r="P252" s="2">
        <v>729</v>
      </c>
      <c r="Q252" s="7">
        <v>680.88085999999998</v>
      </c>
      <c r="Y252" s="2">
        <v>649</v>
      </c>
      <c r="Z252" s="2">
        <v>658748.59300999995</v>
      </c>
      <c r="AD252" s="2">
        <v>729</v>
      </c>
      <c r="AE252" s="2">
        <v>7534.3924800000004</v>
      </c>
      <c r="AG252" s="2">
        <v>729</v>
      </c>
      <c r="AH252" s="2">
        <v>3148.8542600000001</v>
      </c>
    </row>
    <row r="253" spans="2:34" x14ac:dyDescent="0.2">
      <c r="B253" s="2">
        <v>730</v>
      </c>
      <c r="C253" s="2">
        <v>420.56484999999998</v>
      </c>
      <c r="K253" s="2">
        <v>650</v>
      </c>
      <c r="L253" s="2">
        <v>557.17457999999999</v>
      </c>
      <c r="P253" s="2">
        <v>730</v>
      </c>
      <c r="Q253" s="7">
        <v>594.37472000000002</v>
      </c>
      <c r="Y253" s="2">
        <v>650</v>
      </c>
      <c r="Z253" s="2">
        <v>631133.13801</v>
      </c>
      <c r="AD253" s="2">
        <v>730</v>
      </c>
      <c r="AE253" s="2">
        <v>7646.2750699999997</v>
      </c>
      <c r="AG253" s="2">
        <v>730</v>
      </c>
      <c r="AH253" s="2">
        <v>3338.7075599999998</v>
      </c>
    </row>
    <row r="254" spans="2:34" x14ac:dyDescent="0.2">
      <c r="B254" s="2">
        <v>731</v>
      </c>
      <c r="C254" s="2">
        <v>358.16976</v>
      </c>
      <c r="K254" s="2">
        <v>651</v>
      </c>
      <c r="L254" s="2">
        <v>145.60093000000001</v>
      </c>
      <c r="P254" s="2">
        <v>731</v>
      </c>
      <c r="Q254" s="7">
        <v>634.75654999999995</v>
      </c>
      <c r="Y254" s="2">
        <v>651</v>
      </c>
      <c r="Z254" s="2">
        <v>610376.09978000005</v>
      </c>
      <c r="AD254" s="2">
        <v>731</v>
      </c>
      <c r="AE254" s="2">
        <v>7515.5732600000001</v>
      </c>
      <c r="AG254" s="2">
        <v>731</v>
      </c>
      <c r="AH254" s="2">
        <v>3530.82008</v>
      </c>
    </row>
    <row r="255" spans="2:34" x14ac:dyDescent="0.2">
      <c r="B255" s="2">
        <v>732</v>
      </c>
      <c r="C255" s="2">
        <v>716.42199000000005</v>
      </c>
      <c r="K255" s="2">
        <v>652</v>
      </c>
      <c r="L255" s="2">
        <v>298.57353999999998</v>
      </c>
      <c r="P255" s="2">
        <v>732</v>
      </c>
      <c r="Q255" s="7">
        <v>785.49285999999995</v>
      </c>
      <c r="Y255" s="2">
        <v>652</v>
      </c>
      <c r="Z255" s="2">
        <v>585787.95181</v>
      </c>
      <c r="AD255" s="2">
        <v>732</v>
      </c>
      <c r="AE255" s="2">
        <v>7247.0101599999998</v>
      </c>
      <c r="AG255" s="2">
        <v>732</v>
      </c>
      <c r="AH255" s="2">
        <v>3322.7958899999999</v>
      </c>
    </row>
    <row r="256" spans="2:34" x14ac:dyDescent="0.2">
      <c r="B256" s="2">
        <v>733</v>
      </c>
      <c r="C256" s="2">
        <v>633.08912999999995</v>
      </c>
      <c r="K256" s="2">
        <v>653</v>
      </c>
      <c r="L256" s="2">
        <v>438.33037999999999</v>
      </c>
      <c r="P256" s="2">
        <v>733</v>
      </c>
      <c r="Q256" s="7">
        <v>531.09875999999997</v>
      </c>
      <c r="Y256" s="2">
        <v>653</v>
      </c>
      <c r="Z256" s="2">
        <v>561780.01165999996</v>
      </c>
      <c r="AD256" s="2">
        <v>733</v>
      </c>
      <c r="AE256" s="2">
        <v>7392.1261500000001</v>
      </c>
      <c r="AG256" s="2">
        <v>733</v>
      </c>
      <c r="AH256" s="2">
        <v>3557.35529</v>
      </c>
    </row>
    <row r="257" spans="2:34" x14ac:dyDescent="0.2">
      <c r="B257" s="2">
        <v>734</v>
      </c>
      <c r="C257" s="2">
        <v>585.80526999999995</v>
      </c>
      <c r="K257" s="2">
        <v>654</v>
      </c>
      <c r="L257" s="2">
        <v>563.29098999999997</v>
      </c>
      <c r="P257" s="2">
        <v>734</v>
      </c>
      <c r="Q257" s="7">
        <v>500.20013</v>
      </c>
      <c r="Y257" s="2">
        <v>654</v>
      </c>
      <c r="Z257" s="2">
        <v>532183.33964000002</v>
      </c>
      <c r="AD257" s="2">
        <v>734</v>
      </c>
      <c r="AE257" s="2">
        <v>7041.5404399999998</v>
      </c>
      <c r="AG257" s="2">
        <v>734</v>
      </c>
      <c r="AH257" s="2">
        <v>3366.55584</v>
      </c>
    </row>
    <row r="258" spans="2:34" x14ac:dyDescent="0.2">
      <c r="B258" s="2">
        <v>735</v>
      </c>
      <c r="C258" s="2">
        <v>718.97650999999996</v>
      </c>
      <c r="K258" s="2">
        <v>655</v>
      </c>
      <c r="L258" s="2">
        <v>507.33821</v>
      </c>
      <c r="P258" s="2">
        <v>735</v>
      </c>
      <c r="Q258" s="7">
        <v>443.49338</v>
      </c>
      <c r="Y258" s="2">
        <v>655</v>
      </c>
      <c r="Z258" s="2">
        <v>506599.28045999998</v>
      </c>
      <c r="AD258" s="2">
        <v>735</v>
      </c>
      <c r="AE258" s="2">
        <v>7290.9170299999996</v>
      </c>
      <c r="AG258" s="2">
        <v>735</v>
      </c>
      <c r="AH258" s="2">
        <v>3402.8646800000001</v>
      </c>
    </row>
    <row r="259" spans="2:34" x14ac:dyDescent="0.2">
      <c r="B259" s="2">
        <v>736</v>
      </c>
      <c r="C259" s="2">
        <v>695.96397999999999</v>
      </c>
      <c r="K259" s="2">
        <v>656</v>
      </c>
      <c r="L259" s="2">
        <v>492.35969</v>
      </c>
      <c r="P259" s="2">
        <v>736</v>
      </c>
      <c r="Q259" s="7">
        <v>598.98245999999995</v>
      </c>
      <c r="Y259" s="2">
        <v>656</v>
      </c>
      <c r="Z259" s="2">
        <v>474819.11888000002</v>
      </c>
      <c r="AD259" s="2">
        <v>736</v>
      </c>
      <c r="AE259" s="2">
        <v>6705.98164</v>
      </c>
      <c r="AG259" s="2">
        <v>736</v>
      </c>
      <c r="AH259" s="2">
        <v>3469.9707899999999</v>
      </c>
    </row>
    <row r="260" spans="2:34" x14ac:dyDescent="0.2">
      <c r="B260" s="2">
        <v>737</v>
      </c>
      <c r="C260" s="2">
        <v>571.41790000000003</v>
      </c>
      <c r="K260" s="2">
        <v>657</v>
      </c>
      <c r="L260" s="2">
        <v>505.52352000000002</v>
      </c>
      <c r="P260" s="2">
        <v>737</v>
      </c>
      <c r="Q260" s="7">
        <v>784.62441999999999</v>
      </c>
      <c r="Y260" s="2">
        <v>657</v>
      </c>
      <c r="Z260" s="2">
        <v>440206.46899000002</v>
      </c>
      <c r="AD260" s="2">
        <v>737</v>
      </c>
      <c r="AE260" s="2">
        <v>6531.9473699999999</v>
      </c>
      <c r="AG260" s="2">
        <v>737</v>
      </c>
      <c r="AH260" s="2">
        <v>2903.9822600000002</v>
      </c>
    </row>
    <row r="261" spans="2:34" x14ac:dyDescent="0.2">
      <c r="B261" s="2">
        <v>738</v>
      </c>
      <c r="C261" s="2">
        <v>666.59720000000004</v>
      </c>
      <c r="K261" s="2">
        <v>658</v>
      </c>
      <c r="L261" s="2">
        <v>846.45415000000003</v>
      </c>
      <c r="P261" s="2">
        <v>738</v>
      </c>
      <c r="Q261" s="7">
        <v>686.35901999999999</v>
      </c>
      <c r="Y261" s="2">
        <v>658</v>
      </c>
      <c r="Z261" s="2">
        <v>413342.35125000001</v>
      </c>
      <c r="AD261" s="2">
        <v>738</v>
      </c>
      <c r="AE261" s="2">
        <v>6407.7801900000004</v>
      </c>
      <c r="AG261" s="2">
        <v>738</v>
      </c>
      <c r="AH261" s="2">
        <v>3109.2018699999999</v>
      </c>
    </row>
    <row r="262" spans="2:34" x14ac:dyDescent="0.2">
      <c r="B262" s="2">
        <v>739</v>
      </c>
      <c r="C262" s="2">
        <v>590.28108999999995</v>
      </c>
      <c r="K262" s="2">
        <v>659</v>
      </c>
      <c r="L262" s="2">
        <v>841.40806999999995</v>
      </c>
      <c r="P262" s="2">
        <v>739</v>
      </c>
      <c r="Q262" s="7">
        <v>792.43062999999995</v>
      </c>
      <c r="Y262" s="2">
        <v>659</v>
      </c>
      <c r="Z262" s="2">
        <v>374734.60424000002</v>
      </c>
      <c r="AD262" s="2">
        <v>739</v>
      </c>
      <c r="AE262" s="2">
        <v>6728.4847200000004</v>
      </c>
      <c r="AG262" s="2">
        <v>739</v>
      </c>
      <c r="AH262" s="2">
        <v>3135.4354499999999</v>
      </c>
    </row>
    <row r="263" spans="2:34" x14ac:dyDescent="0.2">
      <c r="B263" s="2">
        <v>740</v>
      </c>
      <c r="C263" s="2">
        <v>785.38376000000005</v>
      </c>
      <c r="K263" s="2">
        <v>660</v>
      </c>
      <c r="L263" s="2">
        <v>957.03606000000002</v>
      </c>
      <c r="P263" s="2">
        <v>740</v>
      </c>
      <c r="Q263" s="7">
        <v>708.27030999999999</v>
      </c>
      <c r="Y263" s="2">
        <v>660</v>
      </c>
      <c r="Z263" s="2">
        <v>346184.76510000002</v>
      </c>
      <c r="AD263" s="2">
        <v>740</v>
      </c>
      <c r="AE263" s="2">
        <v>6182.9042600000002</v>
      </c>
      <c r="AG263" s="2">
        <v>740</v>
      </c>
      <c r="AH263" s="2">
        <v>3242.3646600000002</v>
      </c>
    </row>
    <row r="264" spans="2:34" x14ac:dyDescent="0.2">
      <c r="B264" s="2">
        <v>741</v>
      </c>
      <c r="C264" s="2">
        <v>626.58549000000005</v>
      </c>
      <c r="P264" s="2">
        <v>741</v>
      </c>
      <c r="Q264" s="7">
        <v>788.76630999999998</v>
      </c>
      <c r="AD264" s="2">
        <v>741</v>
      </c>
      <c r="AE264" s="2">
        <v>5533.2463799999996</v>
      </c>
      <c r="AG264" s="2">
        <v>741</v>
      </c>
      <c r="AH264" s="2">
        <v>3060.1395000000002</v>
      </c>
    </row>
    <row r="265" spans="2:34" x14ac:dyDescent="0.2">
      <c r="B265" s="2">
        <v>742</v>
      </c>
      <c r="C265" s="2">
        <v>816.37518</v>
      </c>
      <c r="P265" s="2">
        <v>742</v>
      </c>
      <c r="Q265" s="7">
        <v>708.27139</v>
      </c>
      <c r="AD265" s="2">
        <v>742</v>
      </c>
      <c r="AE265" s="2">
        <v>5760.3605699999998</v>
      </c>
      <c r="AG265" s="2">
        <v>742</v>
      </c>
      <c r="AH265" s="2">
        <v>2773.6045300000001</v>
      </c>
    </row>
    <row r="266" spans="2:34" x14ac:dyDescent="0.2">
      <c r="B266" s="2">
        <v>743</v>
      </c>
      <c r="C266" s="2">
        <v>744.00072</v>
      </c>
      <c r="P266" s="2">
        <v>743</v>
      </c>
      <c r="Q266" s="7">
        <v>700.53061000000002</v>
      </c>
      <c r="AD266" s="2">
        <v>743</v>
      </c>
      <c r="AE266" s="2">
        <v>6249.8126199999997</v>
      </c>
      <c r="AG266" s="2">
        <v>743</v>
      </c>
      <c r="AH266" s="2">
        <v>2745.13312</v>
      </c>
    </row>
    <row r="267" spans="2:34" x14ac:dyDescent="0.2">
      <c r="B267" s="2">
        <v>744</v>
      </c>
      <c r="C267" s="2">
        <v>585.68294000000003</v>
      </c>
      <c r="P267" s="2">
        <v>744</v>
      </c>
      <c r="Q267" s="7">
        <v>821.40503999999999</v>
      </c>
      <c r="AD267" s="2">
        <v>744</v>
      </c>
      <c r="AE267" s="2">
        <v>5399.7649099999999</v>
      </c>
      <c r="AG267" s="2">
        <v>744</v>
      </c>
      <c r="AH267" s="2">
        <v>2293.5958500000002</v>
      </c>
    </row>
    <row r="268" spans="2:34" x14ac:dyDescent="0.2">
      <c r="B268" s="2">
        <v>745</v>
      </c>
      <c r="C268" s="2">
        <v>1000.25252</v>
      </c>
      <c r="P268" s="2">
        <v>745</v>
      </c>
      <c r="Q268" s="7">
        <v>615.48012000000006</v>
      </c>
      <c r="AD268" s="2">
        <v>745</v>
      </c>
      <c r="AE268" s="2">
        <v>5521.7650599999997</v>
      </c>
      <c r="AG268" s="2">
        <v>745</v>
      </c>
      <c r="AH268" s="2">
        <v>2222.13132</v>
      </c>
    </row>
    <row r="269" spans="2:34" x14ac:dyDescent="0.2">
      <c r="B269" s="2">
        <v>746</v>
      </c>
      <c r="C269" s="2">
        <v>640.48275000000001</v>
      </c>
      <c r="P269" s="2">
        <v>746</v>
      </c>
      <c r="Q269" s="7">
        <v>624.14562000000001</v>
      </c>
      <c r="AD269" s="2">
        <v>746</v>
      </c>
      <c r="AE269" s="2">
        <v>4742.1725299999998</v>
      </c>
      <c r="AG269" s="2">
        <v>746</v>
      </c>
      <c r="AH269" s="2">
        <v>2704.9857699999998</v>
      </c>
    </row>
    <row r="270" spans="2:34" x14ac:dyDescent="0.2">
      <c r="B270" s="2">
        <v>747</v>
      </c>
      <c r="C270" s="2">
        <v>483.63560999999999</v>
      </c>
      <c r="P270" s="2">
        <v>747</v>
      </c>
      <c r="Q270" s="7">
        <v>834.73388999999997</v>
      </c>
      <c r="AD270" s="2">
        <v>747</v>
      </c>
      <c r="AE270" s="2">
        <v>4672.9621699999998</v>
      </c>
      <c r="AG270" s="2">
        <v>747</v>
      </c>
      <c r="AH270" s="2">
        <v>2477.1628799999999</v>
      </c>
    </row>
    <row r="271" spans="2:34" x14ac:dyDescent="0.2">
      <c r="B271" s="2">
        <v>748</v>
      </c>
      <c r="C271" s="2">
        <v>668.2115</v>
      </c>
      <c r="P271" s="2">
        <v>748</v>
      </c>
      <c r="Q271" s="7">
        <v>582.24784</v>
      </c>
      <c r="AD271" s="2">
        <v>748</v>
      </c>
      <c r="AE271" s="2">
        <v>4572.9292100000002</v>
      </c>
      <c r="AG271" s="2">
        <v>748</v>
      </c>
      <c r="AH271" s="2">
        <v>2189.9411399999999</v>
      </c>
    </row>
    <row r="272" spans="2:34" x14ac:dyDescent="0.2">
      <c r="B272" s="2">
        <v>749</v>
      </c>
      <c r="C272" s="2">
        <v>687.68462999999997</v>
      </c>
      <c r="P272" s="2">
        <v>749</v>
      </c>
      <c r="Q272" s="7">
        <v>600.20051999999998</v>
      </c>
      <c r="AD272" s="2">
        <v>749</v>
      </c>
      <c r="AE272" s="2">
        <v>4532.88195</v>
      </c>
      <c r="AG272" s="2">
        <v>749</v>
      </c>
      <c r="AH272" s="2">
        <v>2590.2417700000001</v>
      </c>
    </row>
    <row r="273" spans="2:34" x14ac:dyDescent="0.2">
      <c r="B273" s="2">
        <v>750</v>
      </c>
      <c r="C273" s="2">
        <v>737.03953999999999</v>
      </c>
      <c r="P273" s="2">
        <v>750</v>
      </c>
      <c r="Q273" s="7">
        <v>498.52067</v>
      </c>
      <c r="AD273" s="2">
        <v>750</v>
      </c>
      <c r="AE273" s="2">
        <v>4593.9455399999997</v>
      </c>
      <c r="AG273" s="2">
        <v>750</v>
      </c>
      <c r="AH273" s="2">
        <v>2961.1059</v>
      </c>
    </row>
    <row r="274" spans="2:34" x14ac:dyDescent="0.2">
      <c r="B274" s="2">
        <v>751</v>
      </c>
      <c r="C274" s="2">
        <v>540.56827999999996</v>
      </c>
      <c r="P274" s="2">
        <v>751</v>
      </c>
      <c r="Q274" s="7">
        <v>779.53120000000001</v>
      </c>
      <c r="AD274" s="2">
        <v>751</v>
      </c>
      <c r="AE274" s="2">
        <v>4552.6042699999998</v>
      </c>
      <c r="AG274" s="2">
        <v>751</v>
      </c>
      <c r="AH274" s="2">
        <v>2378.50821</v>
      </c>
    </row>
    <row r="275" spans="2:34" x14ac:dyDescent="0.2">
      <c r="B275" s="2">
        <v>752</v>
      </c>
      <c r="C275" s="2">
        <v>630.94395999999995</v>
      </c>
      <c r="P275" s="2">
        <v>752</v>
      </c>
      <c r="Q275" s="7">
        <v>450.63263999999998</v>
      </c>
      <c r="AD275" s="2">
        <v>752</v>
      </c>
      <c r="AE275" s="2">
        <v>4014.6637000000001</v>
      </c>
      <c r="AG275" s="2">
        <v>752</v>
      </c>
      <c r="AH275" s="2">
        <v>2358.21009</v>
      </c>
    </row>
    <row r="276" spans="2:34" x14ac:dyDescent="0.2">
      <c r="B276" s="2">
        <v>753</v>
      </c>
      <c r="C276" s="2">
        <v>554.57105000000001</v>
      </c>
      <c r="P276" s="2">
        <v>753</v>
      </c>
      <c r="Q276" s="7">
        <v>819.97924</v>
      </c>
      <c r="AD276" s="2">
        <v>753</v>
      </c>
      <c r="AE276" s="2">
        <v>3867.9138200000002</v>
      </c>
      <c r="AG276" s="2">
        <v>753</v>
      </c>
      <c r="AH276" s="2">
        <v>2735.4345499999999</v>
      </c>
    </row>
    <row r="277" spans="2:34" x14ac:dyDescent="0.2">
      <c r="B277" s="2">
        <v>754</v>
      </c>
      <c r="C277" s="2">
        <v>902.78988000000004</v>
      </c>
      <c r="P277" s="2">
        <v>754</v>
      </c>
      <c r="Q277" s="7">
        <v>661.23842999999999</v>
      </c>
      <c r="AD277" s="2">
        <v>754</v>
      </c>
      <c r="AE277" s="2">
        <v>3814.8632299999999</v>
      </c>
      <c r="AG277" s="2">
        <v>754</v>
      </c>
      <c r="AH277" s="2">
        <v>1936.8822700000001</v>
      </c>
    </row>
    <row r="278" spans="2:34" x14ac:dyDescent="0.2">
      <c r="B278" s="2">
        <v>755</v>
      </c>
      <c r="C278" s="2">
        <v>913.43286999999998</v>
      </c>
      <c r="P278" s="2">
        <v>755</v>
      </c>
      <c r="Q278" s="7">
        <v>766.3587</v>
      </c>
      <c r="AD278" s="2">
        <v>755</v>
      </c>
      <c r="AE278" s="2">
        <v>3946.8092900000001</v>
      </c>
      <c r="AG278" s="2">
        <v>755</v>
      </c>
      <c r="AH278" s="2">
        <v>2234.3028199999999</v>
      </c>
    </row>
    <row r="279" spans="2:34" x14ac:dyDescent="0.2">
      <c r="B279" s="2">
        <v>756</v>
      </c>
      <c r="C279" s="2">
        <v>937.82614999999998</v>
      </c>
      <c r="P279" s="2">
        <v>756</v>
      </c>
      <c r="Q279" s="7">
        <v>775.36496</v>
      </c>
      <c r="AD279" s="2">
        <v>756</v>
      </c>
      <c r="AE279" s="2">
        <v>3833.5054500000001</v>
      </c>
      <c r="AG279" s="2">
        <v>756</v>
      </c>
      <c r="AH279" s="2">
        <v>1837.93947</v>
      </c>
    </row>
    <row r="280" spans="2:34" x14ac:dyDescent="0.2">
      <c r="B280" s="2">
        <v>757</v>
      </c>
      <c r="C280" s="2">
        <v>1007.05961</v>
      </c>
      <c r="P280" s="2">
        <v>757</v>
      </c>
      <c r="Q280" s="7">
        <v>806.74481000000003</v>
      </c>
      <c r="AD280" s="2">
        <v>757</v>
      </c>
      <c r="AE280" s="2">
        <v>3650.4150300000001</v>
      </c>
      <c r="AG280" s="2">
        <v>757</v>
      </c>
      <c r="AH280" s="2">
        <v>1991.91731</v>
      </c>
    </row>
    <row r="281" spans="2:34" x14ac:dyDescent="0.2">
      <c r="B281" s="2">
        <v>758</v>
      </c>
      <c r="C281" s="2">
        <v>704.45024000000001</v>
      </c>
      <c r="P281" s="2">
        <v>758</v>
      </c>
      <c r="Q281" s="7">
        <v>1061.1927599999999</v>
      </c>
      <c r="AD281" s="2">
        <v>758</v>
      </c>
      <c r="AE281" s="2">
        <v>3835.8965699999999</v>
      </c>
      <c r="AG281" s="2">
        <v>758</v>
      </c>
      <c r="AH281" s="2">
        <v>2357.4928399999999</v>
      </c>
    </row>
    <row r="282" spans="2:34" x14ac:dyDescent="0.2">
      <c r="B282" s="2">
        <v>759</v>
      </c>
      <c r="C282" s="2">
        <v>883.84532000000002</v>
      </c>
      <c r="P282" s="2">
        <v>759</v>
      </c>
      <c r="Q282" s="7">
        <v>1143.85978</v>
      </c>
      <c r="AD282" s="2">
        <v>759</v>
      </c>
      <c r="AE282" s="2">
        <v>3441.4782799999998</v>
      </c>
      <c r="AG282" s="2">
        <v>759</v>
      </c>
      <c r="AH282" s="2">
        <v>1701.21505</v>
      </c>
    </row>
    <row r="283" spans="2:34" x14ac:dyDescent="0.2">
      <c r="B283" s="2">
        <v>760</v>
      </c>
      <c r="C283" s="2">
        <v>791.26395000000002</v>
      </c>
      <c r="P283" s="2">
        <v>760</v>
      </c>
      <c r="Q283" s="7">
        <v>634.57813999999996</v>
      </c>
      <c r="AD283" s="2">
        <v>760</v>
      </c>
      <c r="AE283" s="2">
        <v>3248.72453</v>
      </c>
      <c r="AG283" s="2">
        <v>760</v>
      </c>
      <c r="AH283" s="2">
        <v>2092.80359</v>
      </c>
    </row>
    <row r="284" spans="2:34" x14ac:dyDescent="0.2">
      <c r="B284" s="2">
        <v>761</v>
      </c>
      <c r="C284" s="2">
        <v>1331.52162</v>
      </c>
      <c r="P284" s="2">
        <v>761</v>
      </c>
      <c r="Q284" s="7">
        <v>724.90224999999998</v>
      </c>
      <c r="AD284" s="2">
        <v>761</v>
      </c>
      <c r="AE284" s="2">
        <v>2696.0384899999999</v>
      </c>
      <c r="AG284" s="2">
        <v>761</v>
      </c>
      <c r="AH284" s="2">
        <v>1497.68723</v>
      </c>
    </row>
    <row r="285" spans="2:34" x14ac:dyDescent="0.2">
      <c r="B285" s="2">
        <v>762</v>
      </c>
      <c r="C285" s="2">
        <v>1269.81522</v>
      </c>
      <c r="P285" s="2">
        <v>762</v>
      </c>
      <c r="Q285" s="7">
        <v>899.23856999999998</v>
      </c>
      <c r="AD285" s="2">
        <v>762</v>
      </c>
      <c r="AE285" s="2">
        <v>3207.2371400000002</v>
      </c>
      <c r="AG285" s="2">
        <v>762</v>
      </c>
      <c r="AH285" s="2">
        <v>1836.04674</v>
      </c>
    </row>
    <row r="286" spans="2:34" x14ac:dyDescent="0.2">
      <c r="B286" s="2">
        <v>763</v>
      </c>
      <c r="C286" s="2">
        <v>900.0874</v>
      </c>
      <c r="P286" s="2">
        <v>763</v>
      </c>
      <c r="Q286" s="7">
        <v>711.24575000000004</v>
      </c>
      <c r="AD286" s="2">
        <v>763</v>
      </c>
      <c r="AE286" s="2">
        <v>3065.2874200000001</v>
      </c>
      <c r="AG286" s="2">
        <v>763</v>
      </c>
      <c r="AH286" s="2">
        <v>1992.5384799999999</v>
      </c>
    </row>
    <row r="287" spans="2:34" x14ac:dyDescent="0.2">
      <c r="B287" s="2">
        <v>764</v>
      </c>
      <c r="C287" s="2">
        <v>730.10949000000005</v>
      </c>
      <c r="P287" s="2">
        <v>764</v>
      </c>
      <c r="Q287" s="7">
        <v>721.72412999999995</v>
      </c>
      <c r="AD287" s="2">
        <v>764</v>
      </c>
      <c r="AE287" s="2">
        <v>3519.2867000000001</v>
      </c>
      <c r="AG287" s="2">
        <v>764</v>
      </c>
      <c r="AH287" s="2">
        <v>1529.47576</v>
      </c>
    </row>
    <row r="288" spans="2:34" x14ac:dyDescent="0.2">
      <c r="B288" s="2">
        <v>765</v>
      </c>
      <c r="C288" s="2">
        <v>1049.8689199999999</v>
      </c>
      <c r="P288" s="2">
        <v>765</v>
      </c>
      <c r="Q288" s="7">
        <v>964.42133000000001</v>
      </c>
      <c r="AD288" s="2">
        <v>765</v>
      </c>
      <c r="AE288" s="2">
        <v>3111.9317700000001</v>
      </c>
      <c r="AG288" s="2">
        <v>765</v>
      </c>
      <c r="AH288" s="2">
        <v>1780.39696</v>
      </c>
    </row>
    <row r="289" spans="2:34" x14ac:dyDescent="0.2">
      <c r="B289" s="2">
        <v>766</v>
      </c>
      <c r="C289" s="2">
        <v>963.40372000000002</v>
      </c>
      <c r="P289" s="2">
        <v>766</v>
      </c>
      <c r="Q289" s="7">
        <v>928.17501000000004</v>
      </c>
      <c r="AD289" s="2">
        <v>766</v>
      </c>
      <c r="AE289" s="2">
        <v>3268.1443199999999</v>
      </c>
      <c r="AG289" s="2">
        <v>766</v>
      </c>
      <c r="AH289" s="2">
        <v>1586.6557499999999</v>
      </c>
    </row>
    <row r="290" spans="2:34" x14ac:dyDescent="0.2">
      <c r="B290" s="2">
        <v>767</v>
      </c>
      <c r="C290" s="2">
        <v>951.94592</v>
      </c>
      <c r="P290" s="2">
        <v>767</v>
      </c>
      <c r="Q290" s="7">
        <v>752.80400999999995</v>
      </c>
      <c r="AD290" s="2">
        <v>767</v>
      </c>
      <c r="AE290" s="2">
        <v>2643.8154500000001</v>
      </c>
      <c r="AG290" s="2">
        <v>767</v>
      </c>
      <c r="AH290" s="2">
        <v>1435.4792299999999</v>
      </c>
    </row>
    <row r="291" spans="2:34" x14ac:dyDescent="0.2">
      <c r="B291" s="2">
        <v>768</v>
      </c>
      <c r="C291" s="2">
        <v>849.01369999999997</v>
      </c>
      <c r="P291" s="2">
        <v>768</v>
      </c>
      <c r="Q291" s="7">
        <v>1005.55333</v>
      </c>
      <c r="AD291" s="2">
        <v>768</v>
      </c>
      <c r="AE291" s="2">
        <v>2831.4259299999999</v>
      </c>
      <c r="AG291" s="2">
        <v>768</v>
      </c>
      <c r="AH291" s="2">
        <v>2034.7476999999999</v>
      </c>
    </row>
    <row r="292" spans="2:34" x14ac:dyDescent="0.2">
      <c r="B292" s="2">
        <v>769</v>
      </c>
      <c r="C292" s="2">
        <v>886.01698999999996</v>
      </c>
      <c r="P292" s="2">
        <v>769</v>
      </c>
      <c r="Q292" s="7">
        <v>913.94771000000003</v>
      </c>
      <c r="AD292" s="2">
        <v>769</v>
      </c>
      <c r="AE292" s="2">
        <v>2226.4176000000002</v>
      </c>
      <c r="AG292" s="2">
        <v>769</v>
      </c>
      <c r="AH292" s="2">
        <v>1637.7778000000001</v>
      </c>
    </row>
    <row r="293" spans="2:34" x14ac:dyDescent="0.2">
      <c r="B293" s="2">
        <v>770</v>
      </c>
      <c r="C293" s="2">
        <v>1336.84743</v>
      </c>
      <c r="P293" s="2">
        <v>770</v>
      </c>
      <c r="Q293" s="7">
        <v>624.45948999999996</v>
      </c>
      <c r="AD293" s="2">
        <v>770</v>
      </c>
      <c r="AE293" s="2">
        <v>2878.9962099999998</v>
      </c>
      <c r="AG293" s="2">
        <v>770</v>
      </c>
      <c r="AH293" s="2">
        <v>1606.4983099999999</v>
      </c>
    </row>
    <row r="294" spans="2:34" x14ac:dyDescent="0.2">
      <c r="B294" s="2">
        <v>771</v>
      </c>
      <c r="C294" s="2">
        <v>1099.9093399999999</v>
      </c>
      <c r="P294" s="2">
        <v>771</v>
      </c>
      <c r="Q294" s="7">
        <v>846.95425</v>
      </c>
      <c r="AD294" s="2">
        <v>771</v>
      </c>
      <c r="AE294" s="2">
        <v>2737.5711299999998</v>
      </c>
      <c r="AG294" s="2">
        <v>771</v>
      </c>
      <c r="AH294" s="2">
        <v>2245.9203299999999</v>
      </c>
    </row>
    <row r="295" spans="2:34" x14ac:dyDescent="0.2">
      <c r="B295" s="2">
        <v>772</v>
      </c>
      <c r="C295" s="2">
        <v>1156.7402</v>
      </c>
      <c r="P295" s="2">
        <v>772</v>
      </c>
      <c r="Q295" s="7">
        <v>885.66092000000003</v>
      </c>
      <c r="AD295" s="2">
        <v>772</v>
      </c>
      <c r="AE295" s="2">
        <v>3235.4324999999999</v>
      </c>
      <c r="AG295" s="2">
        <v>772</v>
      </c>
      <c r="AH295" s="2">
        <v>2361.2689399999999</v>
      </c>
    </row>
    <row r="296" spans="2:34" x14ac:dyDescent="0.2">
      <c r="B296" s="2">
        <v>773</v>
      </c>
      <c r="C296" s="2">
        <v>937.57628</v>
      </c>
      <c r="P296" s="2">
        <v>773</v>
      </c>
      <c r="Q296" s="7">
        <v>1105.0193099999999</v>
      </c>
      <c r="AD296" s="2">
        <v>773</v>
      </c>
      <c r="AE296" s="2">
        <v>2943.0733399999999</v>
      </c>
      <c r="AG296" s="2">
        <v>773</v>
      </c>
      <c r="AH296" s="2">
        <v>2100.2728299999999</v>
      </c>
    </row>
    <row r="297" spans="2:34" x14ac:dyDescent="0.2">
      <c r="B297" s="2">
        <v>774</v>
      </c>
      <c r="C297" s="2">
        <v>1573.60103</v>
      </c>
      <c r="P297" s="2">
        <v>774</v>
      </c>
      <c r="Q297" s="7">
        <v>1009.12819</v>
      </c>
      <c r="AD297" s="2">
        <v>774</v>
      </c>
      <c r="AE297" s="2">
        <v>2003.91301</v>
      </c>
      <c r="AG297" s="2">
        <v>774</v>
      </c>
      <c r="AH297" s="2">
        <v>1636.1947399999999</v>
      </c>
    </row>
    <row r="298" spans="2:34" x14ac:dyDescent="0.2">
      <c r="B298" s="2">
        <v>775</v>
      </c>
      <c r="C298" s="2">
        <v>1608.9927</v>
      </c>
      <c r="P298" s="2">
        <v>775</v>
      </c>
      <c r="Q298" s="7">
        <v>911.34762999999998</v>
      </c>
      <c r="AD298" s="2">
        <v>775</v>
      </c>
      <c r="AE298" s="2">
        <v>2511.3330099999998</v>
      </c>
      <c r="AG298" s="2">
        <v>775</v>
      </c>
      <c r="AH298" s="2">
        <v>1659.56808</v>
      </c>
    </row>
    <row r="299" spans="2:34" x14ac:dyDescent="0.2">
      <c r="B299" s="2">
        <v>776</v>
      </c>
      <c r="C299" s="2">
        <v>875.68737999999996</v>
      </c>
      <c r="P299" s="2">
        <v>776</v>
      </c>
      <c r="Q299" s="7">
        <v>951.54240000000004</v>
      </c>
      <c r="AD299" s="2">
        <v>776</v>
      </c>
      <c r="AE299" s="2">
        <v>2426.7710400000001</v>
      </c>
      <c r="AG299" s="2">
        <v>776</v>
      </c>
      <c r="AH299" s="2">
        <v>1679.3565000000001</v>
      </c>
    </row>
    <row r="300" spans="2:34" x14ac:dyDescent="0.2">
      <c r="B300" s="2">
        <v>777</v>
      </c>
      <c r="C300" s="2">
        <v>1222.1785299999999</v>
      </c>
      <c r="P300" s="2">
        <v>777</v>
      </c>
      <c r="Q300" s="7">
        <v>862.82703000000004</v>
      </c>
      <c r="AD300" s="2">
        <v>777</v>
      </c>
      <c r="AE300" s="2">
        <v>2442.3256900000001</v>
      </c>
      <c r="AG300" s="2">
        <v>777</v>
      </c>
      <c r="AH300" s="2">
        <v>1815.9311399999999</v>
      </c>
    </row>
    <row r="301" spans="2:34" x14ac:dyDescent="0.2">
      <c r="B301" s="2">
        <v>778</v>
      </c>
      <c r="C301" s="2">
        <v>883.28008</v>
      </c>
      <c r="P301" s="2">
        <v>778</v>
      </c>
      <c r="Q301" s="7">
        <v>930.76496999999995</v>
      </c>
      <c r="AD301" s="2">
        <v>778</v>
      </c>
      <c r="AE301" s="2">
        <v>2385.6310199999998</v>
      </c>
      <c r="AG301" s="2">
        <v>778</v>
      </c>
      <c r="AH301" s="2">
        <v>1360.9978799999999</v>
      </c>
    </row>
    <row r="302" spans="2:34" x14ac:dyDescent="0.2">
      <c r="B302" s="2">
        <v>779</v>
      </c>
      <c r="C302" s="2">
        <v>1162.53574</v>
      </c>
      <c r="P302" s="2">
        <v>779</v>
      </c>
      <c r="Q302" s="7">
        <v>1001.3167999999999</v>
      </c>
      <c r="AD302" s="2">
        <v>779</v>
      </c>
      <c r="AE302" s="2">
        <v>2429.3316</v>
      </c>
      <c r="AG302" s="2">
        <v>779</v>
      </c>
      <c r="AH302" s="2">
        <v>1740.86032</v>
      </c>
    </row>
    <row r="303" spans="2:34" x14ac:dyDescent="0.2">
      <c r="B303" s="2">
        <v>780</v>
      </c>
      <c r="C303" s="2">
        <v>933.18110999999999</v>
      </c>
      <c r="P303" s="2">
        <v>780</v>
      </c>
      <c r="Q303" s="7">
        <v>818.62678000000005</v>
      </c>
      <c r="AD303" s="2">
        <v>780</v>
      </c>
      <c r="AE303" s="2">
        <v>1968.5505700000001</v>
      </c>
      <c r="AG303" s="2">
        <v>780</v>
      </c>
      <c r="AH303" s="2">
        <v>2055.9493400000001</v>
      </c>
    </row>
    <row r="304" spans="2:34" x14ac:dyDescent="0.2">
      <c r="B304" s="2">
        <v>781</v>
      </c>
      <c r="C304" s="2">
        <v>1239.08143</v>
      </c>
      <c r="P304" s="2">
        <v>781</v>
      </c>
      <c r="Q304" s="7">
        <v>934.98135000000002</v>
      </c>
      <c r="AD304" s="2">
        <v>781</v>
      </c>
      <c r="AE304" s="2">
        <v>1978.69533</v>
      </c>
      <c r="AG304" s="2">
        <v>781</v>
      </c>
      <c r="AH304" s="2">
        <v>1951.82881</v>
      </c>
    </row>
    <row r="305" spans="2:34" x14ac:dyDescent="0.2">
      <c r="B305" s="2">
        <v>782</v>
      </c>
      <c r="C305" s="2">
        <v>820.01972000000001</v>
      </c>
      <c r="P305" s="2">
        <v>782</v>
      </c>
      <c r="Q305" s="7">
        <v>1409.91328</v>
      </c>
      <c r="AD305" s="2">
        <v>782</v>
      </c>
      <c r="AE305" s="2">
        <v>1822.2032999999999</v>
      </c>
      <c r="AG305" s="2">
        <v>782</v>
      </c>
      <c r="AH305" s="2">
        <v>1630.9773499999999</v>
      </c>
    </row>
    <row r="306" spans="2:34" x14ac:dyDescent="0.2">
      <c r="B306" s="2">
        <v>783</v>
      </c>
      <c r="C306" s="2">
        <v>1461.5533</v>
      </c>
      <c r="P306" s="2">
        <v>783</v>
      </c>
      <c r="Q306" s="7">
        <v>914.38783999999998</v>
      </c>
      <c r="AD306" s="2">
        <v>783</v>
      </c>
      <c r="AE306" s="2">
        <v>2295.7249299999999</v>
      </c>
      <c r="AG306" s="2">
        <v>783</v>
      </c>
      <c r="AH306" s="2">
        <v>1807.9891600000001</v>
      </c>
    </row>
    <row r="307" spans="2:34" x14ac:dyDescent="0.2">
      <c r="B307" s="2">
        <v>784</v>
      </c>
      <c r="C307" s="2">
        <v>1479.7531100000001</v>
      </c>
      <c r="P307" s="2">
        <v>784</v>
      </c>
      <c r="Q307" s="7">
        <v>1006.48995</v>
      </c>
      <c r="AD307" s="2">
        <v>784</v>
      </c>
      <c r="AE307" s="2">
        <v>2088.6729599999999</v>
      </c>
      <c r="AG307" s="2">
        <v>784</v>
      </c>
      <c r="AH307" s="2">
        <v>1082.3081500000001</v>
      </c>
    </row>
    <row r="308" spans="2:34" x14ac:dyDescent="0.2">
      <c r="B308" s="2">
        <v>785</v>
      </c>
      <c r="C308" s="2">
        <v>1370.15228</v>
      </c>
      <c r="P308" s="2">
        <v>785</v>
      </c>
      <c r="Q308" s="7">
        <v>1610.6543999999999</v>
      </c>
      <c r="AD308" s="2">
        <v>785</v>
      </c>
      <c r="AE308" s="2">
        <v>2533.3880300000001</v>
      </c>
      <c r="AG308" s="2">
        <v>785</v>
      </c>
      <c r="AH308" s="2">
        <v>1192.0789500000001</v>
      </c>
    </row>
    <row r="309" spans="2:34" x14ac:dyDescent="0.2">
      <c r="B309" s="2">
        <v>786</v>
      </c>
      <c r="C309" s="2">
        <v>1322.43481</v>
      </c>
      <c r="P309" s="2">
        <v>786</v>
      </c>
      <c r="Q309" s="7">
        <v>950.77291000000002</v>
      </c>
      <c r="AD309" s="2">
        <v>786</v>
      </c>
      <c r="AE309" s="2">
        <v>2162.3929800000001</v>
      </c>
      <c r="AG309" s="2">
        <v>786</v>
      </c>
      <c r="AH309" s="2">
        <v>1976.0963899999999</v>
      </c>
    </row>
    <row r="310" spans="2:34" x14ac:dyDescent="0.2">
      <c r="B310" s="2">
        <v>787</v>
      </c>
      <c r="C310" s="2">
        <v>1423.24506</v>
      </c>
      <c r="P310" s="2">
        <v>787</v>
      </c>
      <c r="Q310" s="7">
        <v>732.63239999999996</v>
      </c>
      <c r="AD310" s="2">
        <v>787</v>
      </c>
      <c r="AE310" s="2">
        <v>2044.7736</v>
      </c>
      <c r="AG310" s="2">
        <v>787</v>
      </c>
      <c r="AH310" s="2">
        <v>1708.19912</v>
      </c>
    </row>
    <row r="311" spans="2:34" x14ac:dyDescent="0.2">
      <c r="B311" s="2">
        <v>788</v>
      </c>
      <c r="C311" s="2">
        <v>1423.35068</v>
      </c>
      <c r="P311" s="2">
        <v>788</v>
      </c>
      <c r="Q311" s="7">
        <v>922.96100999999999</v>
      </c>
      <c r="AD311" s="2">
        <v>788</v>
      </c>
      <c r="AE311" s="2">
        <v>1867.13526</v>
      </c>
      <c r="AG311" s="2">
        <v>788</v>
      </c>
      <c r="AH311" s="2">
        <v>1462.91092</v>
      </c>
    </row>
    <row r="312" spans="2:34" x14ac:dyDescent="0.2">
      <c r="B312" s="2">
        <v>789</v>
      </c>
      <c r="C312" s="2">
        <v>724.82183999999995</v>
      </c>
      <c r="P312" s="2">
        <v>789</v>
      </c>
      <c r="Q312" s="7">
        <v>1302.9666099999999</v>
      </c>
      <c r="AD312" s="2">
        <v>789</v>
      </c>
      <c r="AE312" s="2">
        <v>1740.8863899999999</v>
      </c>
      <c r="AG312" s="2">
        <v>789</v>
      </c>
      <c r="AH312" s="2">
        <v>1812.50965</v>
      </c>
    </row>
    <row r="313" spans="2:34" x14ac:dyDescent="0.2">
      <c r="B313" s="2">
        <v>790</v>
      </c>
      <c r="C313" s="2">
        <v>1526.09025</v>
      </c>
      <c r="P313" s="2">
        <v>790</v>
      </c>
      <c r="Q313" s="7">
        <v>1045.3281500000001</v>
      </c>
      <c r="AD313" s="2">
        <v>790</v>
      </c>
      <c r="AE313" s="2">
        <v>1812.1509699999999</v>
      </c>
      <c r="AG313" s="2">
        <v>790</v>
      </c>
      <c r="AH313" s="2">
        <v>1516.1316300000001</v>
      </c>
    </row>
    <row r="314" spans="2:34" x14ac:dyDescent="0.2">
      <c r="B314" s="2">
        <v>791</v>
      </c>
      <c r="C314" s="2">
        <v>811.23414000000002</v>
      </c>
      <c r="P314" s="2">
        <v>791</v>
      </c>
      <c r="Q314" s="7">
        <v>664.71424000000002</v>
      </c>
      <c r="AD314" s="2">
        <v>791</v>
      </c>
      <c r="AE314" s="2">
        <v>2399.2561700000001</v>
      </c>
      <c r="AG314" s="2">
        <v>791</v>
      </c>
      <c r="AH314" s="2">
        <v>1619.1253400000001</v>
      </c>
    </row>
    <row r="315" spans="2:34" x14ac:dyDescent="0.2">
      <c r="B315" s="2">
        <v>792</v>
      </c>
      <c r="C315" s="2">
        <v>644.25156000000004</v>
      </c>
      <c r="P315" s="2">
        <v>792</v>
      </c>
      <c r="Q315" s="7">
        <v>1107.99666</v>
      </c>
      <c r="AD315" s="2">
        <v>792</v>
      </c>
      <c r="AE315" s="2">
        <v>1713.73912</v>
      </c>
      <c r="AG315" s="2">
        <v>792</v>
      </c>
      <c r="AH315" s="2">
        <v>1517.6667</v>
      </c>
    </row>
    <row r="316" spans="2:34" x14ac:dyDescent="0.2">
      <c r="B316" s="2">
        <v>793</v>
      </c>
      <c r="C316" s="2">
        <v>1789.31537</v>
      </c>
      <c r="P316" s="2">
        <v>793</v>
      </c>
      <c r="Q316" s="7">
        <v>1135.7832699999999</v>
      </c>
      <c r="AD316" s="2">
        <v>793</v>
      </c>
      <c r="AE316" s="2">
        <v>1645.71064</v>
      </c>
      <c r="AG316" s="2">
        <v>793</v>
      </c>
      <c r="AH316" s="2">
        <v>1291.0743299999999</v>
      </c>
    </row>
    <row r="317" spans="2:34" x14ac:dyDescent="0.2">
      <c r="B317" s="2">
        <v>794</v>
      </c>
      <c r="C317" s="2">
        <v>1828.6279</v>
      </c>
      <c r="P317" s="2">
        <v>794</v>
      </c>
      <c r="Q317" s="7">
        <v>1041.3102799999999</v>
      </c>
      <c r="AD317" s="2">
        <v>794</v>
      </c>
      <c r="AE317" s="2">
        <v>1984.8431700000001</v>
      </c>
      <c r="AG317" s="2">
        <v>794</v>
      </c>
      <c r="AH317" s="2">
        <v>2041.6046799999999</v>
      </c>
    </row>
    <row r="318" spans="2:34" x14ac:dyDescent="0.2">
      <c r="B318" s="2">
        <v>795</v>
      </c>
      <c r="C318" s="2">
        <v>1393.7572299999999</v>
      </c>
      <c r="P318" s="2">
        <v>795</v>
      </c>
      <c r="Q318" s="7">
        <v>1341.8069499999999</v>
      </c>
      <c r="AD318" s="2">
        <v>795</v>
      </c>
      <c r="AE318" s="2">
        <v>1629.88472</v>
      </c>
      <c r="AG318" s="2">
        <v>795</v>
      </c>
      <c r="AH318" s="2">
        <v>2066.6128699999999</v>
      </c>
    </row>
    <row r="319" spans="2:34" x14ac:dyDescent="0.2">
      <c r="B319" s="2">
        <v>796</v>
      </c>
      <c r="C319" s="2">
        <v>745.67724999999996</v>
      </c>
      <c r="P319" s="2">
        <v>796</v>
      </c>
      <c r="Q319" s="7">
        <v>1410.33035</v>
      </c>
      <c r="AD319" s="2">
        <v>796</v>
      </c>
      <c r="AE319" s="2">
        <v>1917.64706</v>
      </c>
      <c r="AG319" s="2">
        <v>796</v>
      </c>
      <c r="AH319" s="2">
        <v>2015.14732</v>
      </c>
    </row>
    <row r="320" spans="2:34" x14ac:dyDescent="0.2">
      <c r="B320" s="2">
        <v>797</v>
      </c>
      <c r="C320" s="2">
        <v>1162.9702299999999</v>
      </c>
      <c r="P320" s="2">
        <v>797</v>
      </c>
      <c r="Q320" s="7">
        <v>471.27415000000002</v>
      </c>
      <c r="AD320" s="2">
        <v>797</v>
      </c>
      <c r="AE320" s="2">
        <v>2338.7860300000002</v>
      </c>
      <c r="AG320" s="2">
        <v>797</v>
      </c>
      <c r="AH320" s="2">
        <v>1452.8039100000001</v>
      </c>
    </row>
    <row r="321" spans="2:34" x14ac:dyDescent="0.2">
      <c r="B321" s="2">
        <v>798</v>
      </c>
      <c r="C321" s="2">
        <v>985.77880000000005</v>
      </c>
      <c r="P321" s="2">
        <v>798</v>
      </c>
      <c r="Q321" s="7">
        <v>900.63543000000004</v>
      </c>
      <c r="AD321" s="2">
        <v>798</v>
      </c>
      <c r="AE321" s="2">
        <v>1659.2661800000001</v>
      </c>
      <c r="AG321" s="2">
        <v>798</v>
      </c>
      <c r="AH321" s="2">
        <v>1596.5786599999999</v>
      </c>
    </row>
    <row r="322" spans="2:34" x14ac:dyDescent="0.2">
      <c r="B322" s="2">
        <v>799</v>
      </c>
      <c r="C322" s="2">
        <v>843.56632999999999</v>
      </c>
      <c r="P322" s="2">
        <v>799</v>
      </c>
      <c r="Q322" s="7">
        <v>927.22550999999999</v>
      </c>
      <c r="AD322" s="2">
        <v>799</v>
      </c>
      <c r="AE322" s="2">
        <v>1711.1609599999999</v>
      </c>
      <c r="AG322" s="2">
        <v>799</v>
      </c>
      <c r="AH322" s="2">
        <v>1628.3128899999999</v>
      </c>
    </row>
    <row r="323" spans="2:34" x14ac:dyDescent="0.2">
      <c r="B323" s="2">
        <v>800</v>
      </c>
      <c r="C323" s="2">
        <v>718.32935999999995</v>
      </c>
      <c r="P323" s="2">
        <v>800</v>
      </c>
      <c r="Q323" s="7">
        <v>1465.8842199999999</v>
      </c>
      <c r="AD323" s="2">
        <v>800</v>
      </c>
      <c r="AE323" s="2">
        <v>2421.0729900000001</v>
      </c>
      <c r="AG323" s="2">
        <v>800</v>
      </c>
      <c r="AH323" s="2">
        <v>973.62828999999999</v>
      </c>
    </row>
  </sheetData>
  <phoneticPr fontId="2" type="noConversion"/>
  <pageMargins left="0.75" right="0.75" top="1" bottom="1" header="0.4921259845" footer="0.49212598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CF6C7-0D81-46D5-B67F-88CEC55ECCC5}">
  <dimension ref="A1:AC323"/>
  <sheetViews>
    <sheetView tabSelected="1" topLeftCell="G1" workbookViewId="0">
      <selection activeCell="AD9" sqref="AD9"/>
    </sheetView>
  </sheetViews>
  <sheetFormatPr baseColWidth="10" defaultRowHeight="12.75" x14ac:dyDescent="0.2"/>
  <cols>
    <col min="1" max="15" width="11.42578125" style="15"/>
    <col min="16" max="16" width="12.42578125" style="15" bestFit="1" customWidth="1"/>
    <col min="17" max="27" width="11.42578125" style="15"/>
    <col min="28" max="28" width="12.42578125" style="15" bestFit="1" customWidth="1"/>
    <col min="29" max="16384" width="11.42578125" style="15"/>
  </cols>
  <sheetData>
    <row r="1" spans="1:29" x14ac:dyDescent="0.2">
      <c r="A1" s="13" t="s">
        <v>6</v>
      </c>
      <c r="B1" s="19" t="s">
        <v>13</v>
      </c>
      <c r="C1" s="13"/>
      <c r="D1" s="13"/>
      <c r="E1" s="13" t="s">
        <v>7</v>
      </c>
      <c r="F1" s="13" t="s">
        <v>13</v>
      </c>
      <c r="G1" s="13"/>
      <c r="H1" s="13"/>
      <c r="I1" s="13" t="s">
        <v>10</v>
      </c>
      <c r="J1" s="13" t="s">
        <v>13</v>
      </c>
      <c r="K1" s="13"/>
      <c r="L1" s="13"/>
      <c r="M1" s="13" t="s">
        <v>11</v>
      </c>
      <c r="N1" s="13" t="s">
        <v>13</v>
      </c>
      <c r="O1" s="13"/>
      <c r="P1" s="13"/>
      <c r="Q1" s="13" t="s">
        <v>8</v>
      </c>
      <c r="R1" s="13" t="s">
        <v>13</v>
      </c>
      <c r="S1" s="13"/>
      <c r="T1" s="13"/>
      <c r="U1" s="13" t="s">
        <v>9</v>
      </c>
      <c r="V1" s="13" t="s">
        <v>13</v>
      </c>
      <c r="Y1" s="25" t="s">
        <v>18</v>
      </c>
      <c r="Z1" s="26" t="s">
        <v>19</v>
      </c>
      <c r="AA1" s="26" t="s">
        <v>21</v>
      </c>
      <c r="AB1" s="26" t="s">
        <v>20</v>
      </c>
      <c r="AC1" s="26" t="s">
        <v>22</v>
      </c>
    </row>
    <row r="2" spans="1:29" x14ac:dyDescent="0.2">
      <c r="A2" s="14" t="s">
        <v>0</v>
      </c>
      <c r="B2" s="20" t="s">
        <v>14</v>
      </c>
      <c r="C2" s="14" t="s">
        <v>15</v>
      </c>
      <c r="D2" s="14" t="s">
        <v>16</v>
      </c>
      <c r="E2" s="16" t="s">
        <v>0</v>
      </c>
      <c r="F2" s="16" t="s">
        <v>14</v>
      </c>
      <c r="G2" s="16" t="s">
        <v>15</v>
      </c>
      <c r="H2" s="16" t="s">
        <v>17</v>
      </c>
      <c r="I2" s="17" t="s">
        <v>0</v>
      </c>
      <c r="J2" s="17" t="s">
        <v>14</v>
      </c>
      <c r="K2" s="17" t="s">
        <v>15</v>
      </c>
      <c r="L2" s="17" t="s">
        <v>16</v>
      </c>
      <c r="M2" s="18" t="s">
        <v>0</v>
      </c>
      <c r="N2" s="18" t="s">
        <v>14</v>
      </c>
      <c r="O2" s="18" t="s">
        <v>15</v>
      </c>
      <c r="P2" s="18" t="s">
        <v>17</v>
      </c>
      <c r="Q2" s="14" t="s">
        <v>0</v>
      </c>
      <c r="R2" s="20" t="s">
        <v>14</v>
      </c>
      <c r="S2" s="14" t="s">
        <v>15</v>
      </c>
      <c r="T2" s="14"/>
      <c r="U2" s="14" t="s">
        <v>0</v>
      </c>
      <c r="V2" s="20" t="s">
        <v>14</v>
      </c>
      <c r="W2" s="14" t="s">
        <v>15</v>
      </c>
      <c r="X2" s="14"/>
      <c r="Y2" s="23">
        <f>A3</f>
        <v>480</v>
      </c>
      <c r="Z2" s="15">
        <f>D3*P83*Y2^4</f>
        <v>216597441.88670567</v>
      </c>
      <c r="AA2" s="15">
        <f>(Z2+Z3)/2*(Y3-Y2)</f>
        <v>2306590941.0879893</v>
      </c>
      <c r="AB2" s="15">
        <f>SUM(AA:AA)</f>
        <v>1602186589414095.5</v>
      </c>
      <c r="AC2" s="15">
        <f>0.218*(2/3*0.8*1.333^(-4)*AB2)^(1/6)</f>
        <v>55.444060749041377</v>
      </c>
    </row>
    <row r="3" spans="1:29" x14ac:dyDescent="0.2">
      <c r="A3" s="15" cm="1">
        <f t="array" ref="A3:A323">Messdaten!P3:P323</f>
        <v>480</v>
      </c>
      <c r="B3" s="21">
        <f>Messdaten!Q3-Messdaten!C3</f>
        <v>30.509199999999964</v>
      </c>
      <c r="C3" s="15">
        <f>(B3-MIN(B:B))/(MAX(B:B)-MIN(B:B))</f>
        <v>6.7703440784278781E-3</v>
      </c>
      <c r="D3" s="15">
        <f>B3/SUM(B:B)</f>
        <v>5.1148021872131306E-6</v>
      </c>
      <c r="E3" s="15" cm="1">
        <f t="array" ref="E3:E113">Messdaten!S3:S113</f>
        <v>400</v>
      </c>
      <c r="F3" s="21">
        <f>Messdaten!T3-Messdaten!I3</f>
        <v>2305.6502</v>
      </c>
      <c r="G3" s="15">
        <f>(F3-MIN(F:F))/(MAX(F:F)-MIN(F:F))</f>
        <v>0</v>
      </c>
      <c r="H3" s="15">
        <f>F3/MAX(F:F)*71000</f>
        <v>641.05256081947414</v>
      </c>
      <c r="I3" s="15" cm="1">
        <f t="array" ref="I3:I183">Messdaten!V3:V183</f>
        <v>620</v>
      </c>
      <c r="J3" s="21">
        <f>Messdaten!W3-Messdaten!F3</f>
        <v>1157.3333500000001</v>
      </c>
      <c r="K3" s="15">
        <f>(J3-MIN(J:J))/(MAX(J:J)-MIN(J:J))</f>
        <v>0</v>
      </c>
      <c r="L3" s="15">
        <f>J3/SUM(J:J)</f>
        <v>1.7980356966831035E-4</v>
      </c>
      <c r="M3" s="15" cm="1">
        <f t="array" ref="M3:M263">Messdaten!Y3:Y263</f>
        <v>400</v>
      </c>
      <c r="N3" s="21">
        <f>Messdaten!Z3-Messdaten!L3</f>
        <v>844.56341000000009</v>
      </c>
      <c r="O3" s="15">
        <f>(N3-MIN(N:N))/(MAX(N:N)-MIN(N:N))</f>
        <v>1.6598888482068596E-3</v>
      </c>
      <c r="P3" s="15">
        <f>N3/MAX(N:N)*250000</f>
        <v>307.00924994985036</v>
      </c>
      <c r="Q3" s="15" cm="1">
        <f t="array" ref="Q3:Q323">Messdaten!AD3:AD323</f>
        <v>480</v>
      </c>
      <c r="R3" s="15">
        <f>Messdaten!AE3-Messdaten!C3</f>
        <v>-95.486430000000382</v>
      </c>
      <c r="S3" s="15">
        <f>(R3-MIN(R:R))/(MAX(R:R)-MIN(R:R))</f>
        <v>4.6630557893225188E-4</v>
      </c>
      <c r="U3" s="15" cm="1">
        <f t="array" ref="U3:U323">Messdaten!AG3:AG323</f>
        <v>480</v>
      </c>
      <c r="V3" s="15">
        <f>Messdaten!AH3-Messdaten!C3</f>
        <v>231.01857999999993</v>
      </c>
      <c r="W3" s="15">
        <f>(V3-MIN(V:V))/(MAX(V:V)-MIN(V:V))</f>
        <v>7.2788606987071137E-3</v>
      </c>
      <c r="Y3" s="24">
        <f>A4</f>
        <v>481</v>
      </c>
      <c r="Z3" s="15">
        <f>D4*P84*Y3^4</f>
        <v>4396584440.2892733</v>
      </c>
      <c r="AA3" s="15">
        <f>(Z3+Z4)/2*(Y4-Y3)</f>
        <v>5827356985.5444469</v>
      </c>
    </row>
    <row r="4" spans="1:29" x14ac:dyDescent="0.2">
      <c r="A4" s="15">
        <v>481</v>
      </c>
      <c r="B4" s="21">
        <f>Messdaten!Q4-Messdaten!C4</f>
        <v>607.17922999999973</v>
      </c>
      <c r="C4" s="15">
        <f>(B4-MIN(B:B))/(MAX(B:B)-MIN(B:B))</f>
        <v>1.15442820654669E-2</v>
      </c>
      <c r="D4" s="15">
        <f t="shared" ref="D4:D67" si="0">B4/SUM(B:B)</f>
        <v>1.0179230047442695E-4</v>
      </c>
      <c r="E4" s="15">
        <v>401</v>
      </c>
      <c r="F4" s="21">
        <f>Messdaten!T4-Messdaten!I4</f>
        <v>2453.1292800000001</v>
      </c>
      <c r="G4" s="15">
        <f t="shared" ref="G4:G67" si="1">(F4-MIN(F:F))/(MAX(F:F)-MIN(F:F))</f>
        <v>5.8278894636962383E-4</v>
      </c>
      <c r="H4" s="15">
        <f t="shared" ref="H4:H67" si="2">F4/MAX(F:F)*71000</f>
        <v>682.05697766522985</v>
      </c>
      <c r="I4" s="15">
        <v>621</v>
      </c>
      <c r="J4" s="21">
        <f>Messdaten!W4-Messdaten!F4</f>
        <v>1410.4983400000001</v>
      </c>
      <c r="K4" s="15">
        <f t="shared" ref="K4:K67" si="3">(J4-MIN(J:J))/(MAX(J:J)-MIN(J:J))</f>
        <v>1.8675995700643611E-3</v>
      </c>
      <c r="L4" s="15">
        <f t="shared" ref="L4:L67" si="4">J4/SUM(J:J)</f>
        <v>2.1913533947952513E-4</v>
      </c>
      <c r="M4" s="15">
        <v>401</v>
      </c>
      <c r="N4" s="21">
        <f>Messdaten!Z4-Messdaten!L4</f>
        <v>1237.69012</v>
      </c>
      <c r="O4" s="15">
        <f t="shared" ref="O4:O67" si="5">(N4-MIN(N:N))/(MAX(N:N)-MIN(N:N))</f>
        <v>2.2312673812146773E-3</v>
      </c>
      <c r="P4" s="15">
        <f t="shared" ref="P4:P67" si="6">N4/MAX(N:N)*250000</f>
        <v>449.91567348571283</v>
      </c>
      <c r="Q4" s="15">
        <v>481</v>
      </c>
      <c r="R4" s="15">
        <f>Messdaten!AE4-Messdaten!C4</f>
        <v>524.89689999999973</v>
      </c>
      <c r="S4" s="15">
        <f t="shared" ref="S4:S67" si="7">(R4-MIN(R:R))/(MAX(R:R)-MIN(R:R))</f>
        <v>6.4783261169722595E-3</v>
      </c>
      <c r="U4" s="15">
        <v>481</v>
      </c>
      <c r="V4" s="15">
        <f>Messdaten!AH4-Messdaten!C4</f>
        <v>666.54586999999992</v>
      </c>
      <c r="W4" s="15">
        <f t="shared" ref="W4:W67" si="8">(V4-MIN(V:V))/(MAX(V:V)-MIN(V:V))</f>
        <v>1.1625930504101543E-2</v>
      </c>
      <c r="Y4" s="23">
        <f t="shared" ref="Y4:Y67" si="9">A5</f>
        <v>482</v>
      </c>
      <c r="Z4" s="15">
        <f t="shared" ref="Z4:Z67" si="10">D5*P85*Y4^4</f>
        <v>7258129530.7996216</v>
      </c>
      <c r="AA4" s="15">
        <f t="shared" ref="AA4:AA67" si="11">(Z4+Z5)/2*(Y5-Y4)</f>
        <v>10793745477.166639</v>
      </c>
    </row>
    <row r="5" spans="1:29" x14ac:dyDescent="0.2">
      <c r="A5" s="15">
        <v>482</v>
      </c>
      <c r="B5" s="21">
        <f>Messdaten!Q5-Messdaten!C5</f>
        <v>1054.80432</v>
      </c>
      <c r="C5" s="15">
        <f>(B5-MIN(B:B))/(MAX(B:B)-MIN(B:B))</f>
        <v>1.524992707896407E-2</v>
      </c>
      <c r="D5" s="15">
        <f t="shared" si="0"/>
        <v>1.7683569031694916E-4</v>
      </c>
      <c r="E5" s="15">
        <v>402</v>
      </c>
      <c r="F5" s="21">
        <f>Messdaten!T5-Messdaten!I5</f>
        <v>2535.41435</v>
      </c>
      <c r="G5" s="15">
        <f t="shared" si="1"/>
        <v>9.079525509110317E-4</v>
      </c>
      <c r="H5" s="15">
        <f t="shared" si="2"/>
        <v>704.93514662629332</v>
      </c>
      <c r="I5" s="15">
        <v>622</v>
      </c>
      <c r="J5" s="21">
        <f>Messdaten!W5-Messdaten!F5</f>
        <v>1683.6233199999999</v>
      </c>
      <c r="K5" s="15">
        <f t="shared" si="3"/>
        <v>3.8824440997990489E-3</v>
      </c>
      <c r="L5" s="15">
        <f t="shared" si="4"/>
        <v>2.6156809782834991E-4</v>
      </c>
      <c r="M5" s="15">
        <v>402</v>
      </c>
      <c r="N5" s="21">
        <f>Messdaten!Z5-Messdaten!L5</f>
        <v>974.40384000000006</v>
      </c>
      <c r="O5" s="15">
        <f t="shared" si="5"/>
        <v>1.8486016284158266E-3</v>
      </c>
      <c r="P5" s="15">
        <f t="shared" si="6"/>
        <v>354.20785286761833</v>
      </c>
      <c r="Q5" s="15">
        <v>482</v>
      </c>
      <c r="R5" s="15">
        <f>Messdaten!AE5-Messdaten!C5</f>
        <v>951.87303999999972</v>
      </c>
      <c r="S5" s="15">
        <f t="shared" si="7"/>
        <v>1.0616073214291985E-2</v>
      </c>
      <c r="U5" s="15">
        <v>482</v>
      </c>
      <c r="V5" s="15">
        <f>Messdaten!AH5-Messdaten!C5</f>
        <v>1022.8246000000001</v>
      </c>
      <c r="W5" s="15">
        <f t="shared" si="8"/>
        <v>1.5182007344859961E-2</v>
      </c>
      <c r="Y5" s="24">
        <f t="shared" si="9"/>
        <v>483</v>
      </c>
      <c r="Z5" s="15">
        <f t="shared" si="10"/>
        <v>14329361423.533657</v>
      </c>
      <c r="AA5" s="15">
        <f t="shared" si="11"/>
        <v>17053563664.475851</v>
      </c>
    </row>
    <row r="6" spans="1:29" x14ac:dyDescent="0.2">
      <c r="A6" s="15">
        <v>483</v>
      </c>
      <c r="B6" s="21">
        <f>Messdaten!Q6-Messdaten!C6</f>
        <v>1631.8586600000001</v>
      </c>
      <c r="C6" s="15">
        <f>(B6-MIN(B:B))/(MAX(B:B)-MIN(B:B))</f>
        <v>2.002704655977311E-2</v>
      </c>
      <c r="D6" s="15">
        <f t="shared" si="0"/>
        <v>2.7357761735446025E-4</v>
      </c>
      <c r="E6" s="15">
        <v>403</v>
      </c>
      <c r="F6" s="21">
        <f>Messdaten!T6-Messdaten!I6</f>
        <v>2513.4084800000001</v>
      </c>
      <c r="G6" s="15">
        <f t="shared" si="1"/>
        <v>8.2099257129055337E-4</v>
      </c>
      <c r="H6" s="15">
        <f t="shared" si="2"/>
        <v>698.81673399086378</v>
      </c>
      <c r="I6" s="15">
        <v>623</v>
      </c>
      <c r="J6" s="21">
        <f>Messdaten!W6-Messdaten!F6</f>
        <v>2219.5947700000002</v>
      </c>
      <c r="K6" s="15">
        <f t="shared" si="3"/>
        <v>7.836308532581689E-3</v>
      </c>
      <c r="L6" s="15">
        <f t="shared" si="4"/>
        <v>3.448367428996255E-4</v>
      </c>
      <c r="M6" s="15">
        <v>403</v>
      </c>
      <c r="N6" s="21">
        <f>Messdaten!Z6-Messdaten!L6</f>
        <v>977.90838999999994</v>
      </c>
      <c r="O6" s="15">
        <f t="shared" si="5"/>
        <v>1.8536952142417613E-3</v>
      </c>
      <c r="P6" s="15">
        <f t="shared" si="6"/>
        <v>355.48180015703696</v>
      </c>
      <c r="Q6" s="15">
        <v>483</v>
      </c>
      <c r="R6" s="15">
        <f>Messdaten!AE6-Messdaten!C6</f>
        <v>1507.9783199999999</v>
      </c>
      <c r="S6" s="15">
        <f t="shared" si="7"/>
        <v>1.6005187013775426E-2</v>
      </c>
      <c r="U6" s="15">
        <v>483</v>
      </c>
      <c r="V6" s="15">
        <f>Messdaten!AH6-Messdaten!C6</f>
        <v>1640.44442</v>
      </c>
      <c r="W6" s="15">
        <f t="shared" si="8"/>
        <v>2.1346572763332686E-2</v>
      </c>
      <c r="Y6" s="23">
        <f t="shared" si="9"/>
        <v>484</v>
      </c>
      <c r="Z6" s="15">
        <f t="shared" si="10"/>
        <v>19777765905.418045</v>
      </c>
      <c r="AA6" s="15">
        <f t="shared" si="11"/>
        <v>22315631159.566292</v>
      </c>
    </row>
    <row r="7" spans="1:29" x14ac:dyDescent="0.2">
      <c r="A7" s="15">
        <v>484</v>
      </c>
      <c r="B7" s="21">
        <f>Messdaten!Q7-Messdaten!C7</f>
        <v>2224.4969899999996</v>
      </c>
      <c r="C7" s="15">
        <f>(B7-MIN(B:B))/(MAX(B:B)-MIN(B:B))</f>
        <v>2.4933177430077513E-2</v>
      </c>
      <c r="D7" s="15">
        <f t="shared" si="0"/>
        <v>3.7293216701522942E-4</v>
      </c>
      <c r="E7" s="15">
        <v>404</v>
      </c>
      <c r="F7" s="21">
        <f>Messdaten!T7-Messdaten!I7</f>
        <v>2552.4942000000001</v>
      </c>
      <c r="G7" s="15">
        <f t="shared" si="1"/>
        <v>9.7544651538145869E-4</v>
      </c>
      <c r="H7" s="15">
        <f t="shared" si="2"/>
        <v>709.68395092493006</v>
      </c>
      <c r="I7" s="15">
        <v>624</v>
      </c>
      <c r="J7" s="21">
        <f>Messdaten!W7-Messdaten!F7</f>
        <v>2469.8959500000001</v>
      </c>
      <c r="K7" s="15">
        <f t="shared" si="3"/>
        <v>9.6827817599999116E-3</v>
      </c>
      <c r="L7" s="15">
        <f t="shared" si="4"/>
        <v>3.8372359054485259E-4</v>
      </c>
      <c r="M7" s="15">
        <v>404</v>
      </c>
      <c r="N7" s="21">
        <f>Messdaten!Z7-Messdaten!L7</f>
        <v>949.82988</v>
      </c>
      <c r="O7" s="15">
        <f t="shared" si="5"/>
        <v>1.8128853240848568E-3</v>
      </c>
      <c r="P7" s="15">
        <f t="shared" si="6"/>
        <v>345.27491433562852</v>
      </c>
      <c r="Q7" s="15">
        <v>484</v>
      </c>
      <c r="R7" s="15">
        <f>Messdaten!AE7-Messdaten!C7</f>
        <v>2114.8338999999996</v>
      </c>
      <c r="S7" s="15">
        <f t="shared" si="7"/>
        <v>2.1886112619213888E-2</v>
      </c>
      <c r="U7" s="15">
        <v>484</v>
      </c>
      <c r="V7" s="15">
        <f>Messdaten!AH7-Messdaten!C7</f>
        <v>2147.4857099999999</v>
      </c>
      <c r="W7" s="15">
        <f t="shared" si="8"/>
        <v>2.640743561270141E-2</v>
      </c>
      <c r="Y7" s="24">
        <f t="shared" si="9"/>
        <v>485</v>
      </c>
      <c r="Z7" s="15">
        <f t="shared" si="10"/>
        <v>24853496413.714542</v>
      </c>
      <c r="AA7" s="15">
        <f t="shared" si="11"/>
        <v>28603599575.967007</v>
      </c>
    </row>
    <row r="8" spans="1:29" x14ac:dyDescent="0.2">
      <c r="A8" s="15">
        <v>485</v>
      </c>
      <c r="B8" s="21">
        <f>Messdaten!Q8-Messdaten!C8</f>
        <v>2812.4347200000002</v>
      </c>
      <c r="C8" s="15">
        <f>(B8-MIN(B:B))/(MAX(B:B)-MIN(B:B))</f>
        <v>2.9800394585892766E-2</v>
      </c>
      <c r="D8" s="15">
        <f t="shared" si="0"/>
        <v>4.71498671130353E-4</v>
      </c>
      <c r="E8" s="15">
        <v>405</v>
      </c>
      <c r="F8" s="21">
        <f>Messdaten!T8-Messdaten!I8</f>
        <v>2892.4369799999999</v>
      </c>
      <c r="G8" s="15">
        <f t="shared" si="1"/>
        <v>2.318788869986333E-3</v>
      </c>
      <c r="H8" s="15">
        <f t="shared" si="2"/>
        <v>804.20010504539937</v>
      </c>
      <c r="I8" s="15">
        <v>625</v>
      </c>
      <c r="J8" s="21">
        <f>Messdaten!W8-Messdaten!F8</f>
        <v>2857.2322900000004</v>
      </c>
      <c r="K8" s="15">
        <f t="shared" si="3"/>
        <v>1.2540164141561849E-2</v>
      </c>
      <c r="L8" s="15">
        <f t="shared" si="4"/>
        <v>4.4390025148204786E-4</v>
      </c>
      <c r="M8" s="15">
        <v>405</v>
      </c>
      <c r="N8" s="21">
        <f>Messdaten!Z8-Messdaten!L8</f>
        <v>710.59646000000009</v>
      </c>
      <c r="O8" s="15">
        <f t="shared" si="5"/>
        <v>1.4651784980438507E-3</v>
      </c>
      <c r="P8" s="15">
        <f t="shared" si="6"/>
        <v>258.31060595156362</v>
      </c>
      <c r="Q8" s="15">
        <v>485</v>
      </c>
      <c r="R8" s="15">
        <f>Messdaten!AE8-Messdaten!C8</f>
        <v>2610.3010200000003</v>
      </c>
      <c r="S8" s="15">
        <f t="shared" si="7"/>
        <v>2.6687593183437844E-2</v>
      </c>
      <c r="U8" s="15">
        <v>485</v>
      </c>
      <c r="V8" s="15">
        <f>Messdaten!AH8-Messdaten!C8</f>
        <v>2573.3936600000002</v>
      </c>
      <c r="W8" s="15">
        <f t="shared" si="8"/>
        <v>3.0658493196997549E-2</v>
      </c>
      <c r="Y8" s="23">
        <f t="shared" si="9"/>
        <v>486</v>
      </c>
      <c r="Z8" s="15">
        <f t="shared" si="10"/>
        <v>32353702738.219471</v>
      </c>
      <c r="AA8" s="15">
        <f t="shared" si="11"/>
        <v>42313817790.165962</v>
      </c>
    </row>
    <row r="9" spans="1:29" x14ac:dyDescent="0.2">
      <c r="A9" s="15">
        <v>486</v>
      </c>
      <c r="B9" s="21">
        <f>Messdaten!Q9-Messdaten!C9</f>
        <v>3761.0343200000002</v>
      </c>
      <c r="C9" s="15">
        <f>(B9-MIN(B:B))/(MAX(B:B)-MIN(B:B))</f>
        <v>3.7653335486827096E-2</v>
      </c>
      <c r="D9" s="15">
        <f t="shared" si="0"/>
        <v>6.3052936708008313E-4</v>
      </c>
      <c r="E9" s="15">
        <v>406</v>
      </c>
      <c r="F9" s="21">
        <f>Messdaten!T9-Messdaten!I9</f>
        <v>3243.1649399999997</v>
      </c>
      <c r="G9" s="15">
        <f t="shared" si="1"/>
        <v>3.7047507180719549E-3</v>
      </c>
      <c r="H9" s="15">
        <f t="shared" si="2"/>
        <v>901.71492186756507</v>
      </c>
      <c r="I9" s="15">
        <v>626</v>
      </c>
      <c r="J9" s="21">
        <f>Messdaten!W9-Messdaten!F9</f>
        <v>3389.7164899999998</v>
      </c>
      <c r="K9" s="15">
        <f t="shared" si="3"/>
        <v>1.6468303111275097E-2</v>
      </c>
      <c r="L9" s="15">
        <f t="shared" si="4"/>
        <v>5.2662711660865502E-4</v>
      </c>
      <c r="M9" s="15">
        <v>406</v>
      </c>
      <c r="N9" s="21">
        <f>Messdaten!Z9-Messdaten!L9</f>
        <v>606.06010000000003</v>
      </c>
      <c r="O9" s="15">
        <f t="shared" si="5"/>
        <v>1.3132431792180778E-3</v>
      </c>
      <c r="P9" s="15">
        <f t="shared" si="6"/>
        <v>220.31034558498254</v>
      </c>
      <c r="Q9" s="15">
        <v>486</v>
      </c>
      <c r="R9" s="15">
        <f>Messdaten!AE9-Messdaten!C9</f>
        <v>3579.0382299999997</v>
      </c>
      <c r="S9" s="15">
        <f t="shared" si="7"/>
        <v>3.6075446984221902E-2</v>
      </c>
      <c r="U9" s="15">
        <v>486</v>
      </c>
      <c r="V9" s="15">
        <f>Messdaten!AH9-Messdaten!C9</f>
        <v>3400.0951799999998</v>
      </c>
      <c r="W9" s="15">
        <f t="shared" si="8"/>
        <v>3.8909937591367592E-2</v>
      </c>
      <c r="Y9" s="24">
        <f t="shared" si="9"/>
        <v>487</v>
      </c>
      <c r="Z9" s="15">
        <f t="shared" si="10"/>
        <v>52273932842.11245</v>
      </c>
      <c r="AA9" s="15">
        <f t="shared" si="11"/>
        <v>56828539320.484787</v>
      </c>
    </row>
    <row r="10" spans="1:29" x14ac:dyDescent="0.2">
      <c r="A10" s="15">
        <v>487</v>
      </c>
      <c r="B10" s="21">
        <f>Messdaten!Q10-Messdaten!C10</f>
        <v>4745.2704800000001</v>
      </c>
      <c r="C10" s="15">
        <f>(B10-MIN(B:B))/(MAX(B:B)-MIN(B:B))</f>
        <v>4.5801292113672114E-2</v>
      </c>
      <c r="D10" s="15">
        <f t="shared" si="0"/>
        <v>7.9553445616476121E-4</v>
      </c>
      <c r="E10" s="15">
        <v>407</v>
      </c>
      <c r="F10" s="21">
        <f>Messdaten!T10-Messdaten!I10</f>
        <v>3196.4040800000002</v>
      </c>
      <c r="G10" s="15">
        <f t="shared" si="1"/>
        <v>3.5199671383890799E-3</v>
      </c>
      <c r="H10" s="15">
        <f t="shared" si="2"/>
        <v>888.71374369703403</v>
      </c>
      <c r="I10" s="15">
        <v>627</v>
      </c>
      <c r="J10" s="21">
        <f>Messdaten!W10-Messdaten!F10</f>
        <v>4004.1900599999999</v>
      </c>
      <c r="K10" s="15">
        <f t="shared" si="3"/>
        <v>2.1001278129455587E-2</v>
      </c>
      <c r="L10" s="15">
        <f t="shared" si="4"/>
        <v>6.2209186870694228E-4</v>
      </c>
      <c r="M10" s="15">
        <v>407</v>
      </c>
      <c r="N10" s="21">
        <f>Messdaten!Z10-Messdaten!L10</f>
        <v>348.0319199999999</v>
      </c>
      <c r="O10" s="15">
        <f t="shared" si="5"/>
        <v>9.3821965826963553E-4</v>
      </c>
      <c r="P10" s="15">
        <f t="shared" si="6"/>
        <v>126.51390937929251</v>
      </c>
      <c r="Q10" s="15">
        <v>487</v>
      </c>
      <c r="R10" s="15">
        <f>Messdaten!AE10-Messdaten!C10</f>
        <v>4405.8423200000007</v>
      </c>
      <c r="S10" s="15">
        <f t="shared" si="7"/>
        <v>4.4087853071947507E-2</v>
      </c>
      <c r="U10" s="15">
        <v>487</v>
      </c>
      <c r="V10" s="15">
        <f>Messdaten!AH10-Messdaten!C10</f>
        <v>4215.8155300000008</v>
      </c>
      <c r="W10" s="15">
        <f t="shared" si="8"/>
        <v>4.7051777114513839E-2</v>
      </c>
      <c r="Y10" s="23">
        <f t="shared" si="9"/>
        <v>488</v>
      </c>
      <c r="Z10" s="15">
        <f t="shared" si="10"/>
        <v>61383145798.857124</v>
      </c>
      <c r="AA10" s="15">
        <f t="shared" si="11"/>
        <v>70613269948.195724</v>
      </c>
    </row>
    <row r="11" spans="1:29" x14ac:dyDescent="0.2">
      <c r="A11" s="15">
        <v>488</v>
      </c>
      <c r="B11" s="21">
        <f>Messdaten!Q11-Messdaten!C11</f>
        <v>5763.2833100000007</v>
      </c>
      <c r="C11" s="15">
        <f>(B11-MIN(B:B))/(MAX(B:B)-MIN(B:B))</f>
        <v>5.4228867447230031E-2</v>
      </c>
      <c r="D11" s="15">
        <f t="shared" si="0"/>
        <v>9.6620213180014457E-4</v>
      </c>
      <c r="E11" s="15">
        <v>408</v>
      </c>
      <c r="F11" s="21">
        <f>Messdaten!T11-Messdaten!I11</f>
        <v>3400.3848600000001</v>
      </c>
      <c r="G11" s="15">
        <f t="shared" si="1"/>
        <v>4.3260322688187915E-3</v>
      </c>
      <c r="H11" s="15">
        <f t="shared" si="2"/>
        <v>945.42763784149429</v>
      </c>
      <c r="I11" s="15">
        <v>628</v>
      </c>
      <c r="J11" s="21">
        <f>Messdaten!W11-Messdaten!F11</f>
        <v>4973.14563</v>
      </c>
      <c r="K11" s="15">
        <f t="shared" si="3"/>
        <v>2.8149268876294112E-2</v>
      </c>
      <c r="L11" s="15">
        <f t="shared" si="4"/>
        <v>7.7262902408744899E-4</v>
      </c>
      <c r="M11" s="15">
        <v>408</v>
      </c>
      <c r="N11" s="21">
        <f>Messdaten!Z11-Messdaten!L11</f>
        <v>870.96759999999995</v>
      </c>
      <c r="O11" s="15">
        <f t="shared" si="5"/>
        <v>1.6982652468683997E-3</v>
      </c>
      <c r="P11" s="15">
        <f t="shared" si="6"/>
        <v>316.60749973364494</v>
      </c>
      <c r="Q11" s="15">
        <v>488</v>
      </c>
      <c r="R11" s="15">
        <f>Messdaten!AE11-Messdaten!C11</f>
        <v>5478.2713999999996</v>
      </c>
      <c r="S11" s="15">
        <f t="shared" si="7"/>
        <v>5.4480565678444115E-2</v>
      </c>
      <c r="U11" s="15">
        <v>488</v>
      </c>
      <c r="V11" s="15">
        <f>Messdaten!AH11-Messdaten!C11</f>
        <v>5170.3202999999994</v>
      </c>
      <c r="W11" s="15">
        <f t="shared" si="8"/>
        <v>5.6578846852834826E-2</v>
      </c>
      <c r="Y11" s="24">
        <f t="shared" si="9"/>
        <v>489</v>
      </c>
      <c r="Z11" s="15">
        <f t="shared" si="10"/>
        <v>79843394097.534317</v>
      </c>
      <c r="AA11" s="15">
        <f t="shared" si="11"/>
        <v>86503171535.879913</v>
      </c>
    </row>
    <row r="12" spans="1:29" x14ac:dyDescent="0.2">
      <c r="A12" s="15">
        <v>489</v>
      </c>
      <c r="B12" s="21">
        <f>Messdaten!Q12-Messdaten!C12</f>
        <v>7277.4691499999999</v>
      </c>
      <c r="C12" s="15">
        <f>(B12-MIN(B:B))/(MAX(B:B)-MIN(B:B))</f>
        <v>6.6763989657435047E-2</v>
      </c>
      <c r="D12" s="15">
        <f t="shared" si="0"/>
        <v>1.2200521523276955E-3</v>
      </c>
      <c r="E12" s="15">
        <v>409</v>
      </c>
      <c r="F12" s="21">
        <f>Messdaten!T12-Messdaten!I12</f>
        <v>3622.3747100000001</v>
      </c>
      <c r="G12" s="15">
        <f t="shared" si="1"/>
        <v>5.2032633363454589E-3</v>
      </c>
      <c r="H12" s="15">
        <f t="shared" si="2"/>
        <v>1007.1486924136194</v>
      </c>
      <c r="I12" s="15">
        <v>629</v>
      </c>
      <c r="J12" s="21">
        <f>Messdaten!W12-Messdaten!F12</f>
        <v>5553.4645900000005</v>
      </c>
      <c r="K12" s="15">
        <f t="shared" si="3"/>
        <v>3.2430285142390776E-2</v>
      </c>
      <c r="L12" s="15">
        <f t="shared" si="4"/>
        <v>8.6278750829098597E-4</v>
      </c>
      <c r="M12" s="15">
        <v>409</v>
      </c>
      <c r="N12" s="21">
        <f>Messdaten!Z12-Messdaten!L12</f>
        <v>590.02640999999994</v>
      </c>
      <c r="O12" s="15">
        <f t="shared" si="5"/>
        <v>1.2899394808484042E-3</v>
      </c>
      <c r="P12" s="15">
        <f t="shared" si="6"/>
        <v>214.48190087314208</v>
      </c>
      <c r="Q12" s="15">
        <v>489</v>
      </c>
      <c r="R12" s="15">
        <f>Messdaten!AE12-Messdaten!C12</f>
        <v>6633.7977200000005</v>
      </c>
      <c r="S12" s="15">
        <f t="shared" si="7"/>
        <v>6.5678558326128234E-2</v>
      </c>
      <c r="U12" s="15">
        <v>489</v>
      </c>
      <c r="V12" s="15">
        <f>Messdaten!AH12-Messdaten!C12</f>
        <v>6554.3831100000007</v>
      </c>
      <c r="W12" s="15">
        <f t="shared" si="8"/>
        <v>7.0393406326525604E-2</v>
      </c>
      <c r="Y12" s="23">
        <f t="shared" si="9"/>
        <v>490</v>
      </c>
      <c r="Z12" s="15">
        <f t="shared" si="10"/>
        <v>93162948974.22551</v>
      </c>
      <c r="AA12" s="15">
        <f t="shared" si="11"/>
        <v>115946441904.15579</v>
      </c>
    </row>
    <row r="13" spans="1:29" x14ac:dyDescent="0.2">
      <c r="A13" s="15">
        <v>490</v>
      </c>
      <c r="B13" s="21">
        <f>Messdaten!Q13-Messdaten!C13</f>
        <v>8964.9332299999987</v>
      </c>
      <c r="C13" s="15">
        <f>(B13-MIN(B:B))/(MAX(B:B)-MIN(B:B))</f>
        <v>8.0733588308635723E-2</v>
      </c>
      <c r="D13" s="15">
        <f t="shared" si="0"/>
        <v>1.5029518995261666E-3</v>
      </c>
      <c r="E13" s="15">
        <v>410</v>
      </c>
      <c r="F13" s="21">
        <f>Messdaten!T13-Messdaten!I13</f>
        <v>3847.9420299999997</v>
      </c>
      <c r="G13" s="15">
        <f t="shared" si="1"/>
        <v>6.0946313917891156E-3</v>
      </c>
      <c r="H13" s="15">
        <f t="shared" si="2"/>
        <v>1069.8644105755441</v>
      </c>
      <c r="I13" s="15">
        <v>630</v>
      </c>
      <c r="J13" s="21">
        <f>Messdaten!W13-Messdaten!F13</f>
        <v>6805.62039</v>
      </c>
      <c r="K13" s="15">
        <f t="shared" si="3"/>
        <v>4.166744559547552E-2</v>
      </c>
      <c r="L13" s="15">
        <f t="shared" si="4"/>
        <v>1.0573227151273558E-3</v>
      </c>
      <c r="M13" s="15">
        <v>410</v>
      </c>
      <c r="N13" s="21">
        <f>Messdaten!Z13-Messdaten!L13</f>
        <v>145.85345000000007</v>
      </c>
      <c r="O13" s="15">
        <f t="shared" si="5"/>
        <v>6.4436926689234915E-4</v>
      </c>
      <c r="P13" s="15">
        <f t="shared" si="6"/>
        <v>53.019533828843024</v>
      </c>
      <c r="Q13" s="15">
        <v>490</v>
      </c>
      <c r="R13" s="15">
        <f>Messdaten!AE13-Messdaten!C13</f>
        <v>8308.6704099999988</v>
      </c>
      <c r="S13" s="15">
        <f t="shared" si="7"/>
        <v>8.1909440949751111E-2</v>
      </c>
      <c r="U13" s="15">
        <v>490</v>
      </c>
      <c r="V13" s="15">
        <f>Messdaten!AH13-Messdaten!C13</f>
        <v>8000.1676299999999</v>
      </c>
      <c r="W13" s="15">
        <f t="shared" si="8"/>
        <v>8.4824020380581053E-2</v>
      </c>
      <c r="Y13" s="24">
        <f t="shared" si="9"/>
        <v>491</v>
      </c>
      <c r="Z13" s="15">
        <f t="shared" si="10"/>
        <v>138729934834.08606</v>
      </c>
      <c r="AA13" s="15">
        <f t="shared" si="11"/>
        <v>151823495869.73605</v>
      </c>
    </row>
    <row r="14" spans="1:29" x14ac:dyDescent="0.2">
      <c r="A14" s="15">
        <v>491</v>
      </c>
      <c r="B14" s="21">
        <f>Messdaten!Q14-Messdaten!C14</f>
        <v>10771.939979999999</v>
      </c>
      <c r="C14" s="15">
        <f>(B14-MIN(B:B))/(MAX(B:B)-MIN(B:B))</f>
        <v>9.5692815800761388E-2</v>
      </c>
      <c r="D14" s="15">
        <f t="shared" si="0"/>
        <v>1.8058927199085071E-3</v>
      </c>
      <c r="E14" s="15">
        <v>411</v>
      </c>
      <c r="F14" s="21">
        <f>Messdaten!T14-Messdaten!I14</f>
        <v>4059.5203899999997</v>
      </c>
      <c r="G14" s="15">
        <f t="shared" si="1"/>
        <v>6.9307196661329267E-3</v>
      </c>
      <c r="H14" s="15">
        <f t="shared" si="2"/>
        <v>1128.6907015246154</v>
      </c>
      <c r="I14" s="15">
        <v>631</v>
      </c>
      <c r="J14" s="21">
        <f>Messdaten!W14-Messdaten!F14</f>
        <v>7840.2650199999998</v>
      </c>
      <c r="K14" s="15">
        <f t="shared" si="3"/>
        <v>4.9300024911270328E-2</v>
      </c>
      <c r="L14" s="15">
        <f t="shared" si="4"/>
        <v>1.2180653376501994E-3</v>
      </c>
      <c r="M14" s="15">
        <v>411</v>
      </c>
      <c r="N14" s="21">
        <f>Messdaten!Z14-Messdaten!L14</f>
        <v>601.83340999999984</v>
      </c>
      <c r="O14" s="15">
        <f t="shared" si="5"/>
        <v>1.3071000201036057E-3</v>
      </c>
      <c r="P14" s="15">
        <f t="shared" si="6"/>
        <v>218.7738914699853</v>
      </c>
      <c r="Q14" s="15">
        <v>491</v>
      </c>
      <c r="R14" s="15">
        <f>Messdaten!AE14-Messdaten!C14</f>
        <v>9960.1508199999989</v>
      </c>
      <c r="S14" s="15">
        <f t="shared" si="7"/>
        <v>9.7913633298199187E-2</v>
      </c>
      <c r="U14" s="15">
        <v>491</v>
      </c>
      <c r="V14" s="15">
        <f>Messdaten!AH14-Messdaten!C14</f>
        <v>9528.4078599999993</v>
      </c>
      <c r="W14" s="15">
        <f t="shared" si="8"/>
        <v>0.10007763849305808</v>
      </c>
      <c r="Y14" s="23">
        <f t="shared" si="9"/>
        <v>492</v>
      </c>
      <c r="Z14" s="15">
        <f t="shared" si="10"/>
        <v>164917056905.38605</v>
      </c>
      <c r="AA14" s="15">
        <f t="shared" si="11"/>
        <v>189341046868.51215</v>
      </c>
    </row>
    <row r="15" spans="1:29" x14ac:dyDescent="0.2">
      <c r="A15" s="15">
        <v>492</v>
      </c>
      <c r="B15" s="21">
        <f>Messdaten!Q15-Messdaten!C15</f>
        <v>13147.007450000001</v>
      </c>
      <c r="C15" s="15">
        <f>(B15-MIN(B:B))/(MAX(B:B)-MIN(B:B))</f>
        <v>0.11535470947817977</v>
      </c>
      <c r="D15" s="15">
        <f t="shared" si="0"/>
        <v>2.2040677061531408E-3</v>
      </c>
      <c r="E15" s="15">
        <v>412</v>
      </c>
      <c r="F15" s="21">
        <f>Messdaten!T15-Messdaten!I15</f>
        <v>4350.5887899999998</v>
      </c>
      <c r="G15" s="15">
        <f t="shared" si="1"/>
        <v>8.0809265033161548E-3</v>
      </c>
      <c r="H15" s="15">
        <f t="shared" si="2"/>
        <v>1209.6180439261764</v>
      </c>
      <c r="I15" s="15">
        <v>632</v>
      </c>
      <c r="J15" s="21">
        <f>Messdaten!W15-Messdaten!F15</f>
        <v>9249.2223000000013</v>
      </c>
      <c r="K15" s="15">
        <f t="shared" si="3"/>
        <v>5.969391077347843E-2</v>
      </c>
      <c r="L15" s="15">
        <f t="shared" si="4"/>
        <v>1.4369612577013698E-3</v>
      </c>
      <c r="M15" s="15">
        <v>412</v>
      </c>
      <c r="N15" s="21">
        <f>Messdaten!Z15-Messdaten!L15</f>
        <v>477.80066999999985</v>
      </c>
      <c r="O15" s="15">
        <f t="shared" si="5"/>
        <v>1.12682825727645E-3</v>
      </c>
      <c r="P15" s="15">
        <f t="shared" si="6"/>
        <v>173.6864557301102</v>
      </c>
      <c r="Q15" s="15">
        <v>492</v>
      </c>
      <c r="R15" s="15">
        <f>Messdaten!AE15-Messdaten!C15</f>
        <v>12101.797330000001</v>
      </c>
      <c r="S15" s="15">
        <f t="shared" si="7"/>
        <v>0.11866793500282706</v>
      </c>
      <c r="U15" s="15">
        <v>492</v>
      </c>
      <c r="V15" s="15">
        <f>Messdaten!AH15-Messdaten!C15</f>
        <v>11578.048490000001</v>
      </c>
      <c r="W15" s="15">
        <f t="shared" si="8"/>
        <v>0.12053544010310786</v>
      </c>
      <c r="Y15" s="24">
        <f t="shared" si="9"/>
        <v>493</v>
      </c>
      <c r="Z15" s="15">
        <f t="shared" si="10"/>
        <v>213765036831.63821</v>
      </c>
      <c r="AA15" s="15">
        <f t="shared" si="11"/>
        <v>233722936012.02521</v>
      </c>
    </row>
    <row r="16" spans="1:29" x14ac:dyDescent="0.2">
      <c r="A16" s="15">
        <v>493</v>
      </c>
      <c r="B16" s="21">
        <f>Messdaten!Q16-Messdaten!C16</f>
        <v>15710.89264</v>
      </c>
      <c r="C16" s="15">
        <f>(B16-MIN(B:B))/(MAX(B:B)-MIN(B:B))</f>
        <v>0.1365797225119727</v>
      </c>
      <c r="D16" s="15">
        <f t="shared" si="0"/>
        <v>2.6338975796855626E-3</v>
      </c>
      <c r="E16" s="15">
        <v>413</v>
      </c>
      <c r="F16" s="21">
        <f>Messdaten!T16-Messdaten!I16</f>
        <v>4632.7360399999998</v>
      </c>
      <c r="G16" s="15">
        <f t="shared" si="1"/>
        <v>9.1958798821179938E-3</v>
      </c>
      <c r="H16" s="15">
        <f t="shared" si="2"/>
        <v>1288.0649901024317</v>
      </c>
      <c r="I16" s="15">
        <v>633</v>
      </c>
      <c r="J16" s="21">
        <f>Messdaten!W16-Messdaten!F16</f>
        <v>10593.350460000001</v>
      </c>
      <c r="K16" s="15">
        <f t="shared" si="3"/>
        <v>6.96095518489976E-2</v>
      </c>
      <c r="L16" s="15">
        <f t="shared" si="4"/>
        <v>1.6457853110820988E-3</v>
      </c>
      <c r="M16" s="15">
        <v>413</v>
      </c>
      <c r="N16" s="21">
        <f>Messdaten!Z16-Messdaten!L16</f>
        <v>324.04103999999995</v>
      </c>
      <c r="O16" s="15">
        <f t="shared" si="5"/>
        <v>9.033508145322905E-4</v>
      </c>
      <c r="P16" s="15">
        <f t="shared" si="6"/>
        <v>117.79292764218785</v>
      </c>
      <c r="Q16" s="15">
        <v>493</v>
      </c>
      <c r="R16" s="15">
        <f>Messdaten!AE16-Messdaten!C16</f>
        <v>14661.893959999999</v>
      </c>
      <c r="S16" s="15">
        <f t="shared" si="7"/>
        <v>0.14347735971597497</v>
      </c>
      <c r="U16" s="15">
        <v>493</v>
      </c>
      <c r="V16" s="15">
        <f>Messdaten!AH16-Messdaten!C16</f>
        <v>13902.946250000001</v>
      </c>
      <c r="W16" s="15">
        <f t="shared" si="8"/>
        <v>0.14374062858423645</v>
      </c>
      <c r="Y16" s="23">
        <f t="shared" si="9"/>
        <v>494</v>
      </c>
      <c r="Z16" s="15">
        <f t="shared" si="10"/>
        <v>253680835192.41223</v>
      </c>
      <c r="AA16" s="15">
        <f t="shared" si="11"/>
        <v>300112776955.32336</v>
      </c>
    </row>
    <row r="17" spans="1:27" x14ac:dyDescent="0.2">
      <c r="A17" s="15">
        <v>494</v>
      </c>
      <c r="B17" s="21">
        <f>Messdaten!Q17-Messdaten!C17</f>
        <v>18824.715950000002</v>
      </c>
      <c r="C17" s="15">
        <f>(B17-MIN(B:B))/(MAX(B:B)-MIN(B:B))</f>
        <v>0.1623573745681002</v>
      </c>
      <c r="D17" s="15">
        <f t="shared" si="0"/>
        <v>3.1559234039150821E-3</v>
      </c>
      <c r="E17" s="15">
        <v>414</v>
      </c>
      <c r="F17" s="21">
        <f>Messdaten!T17-Messdaten!I17</f>
        <v>5064.4831999999997</v>
      </c>
      <c r="G17" s="15">
        <f t="shared" si="1"/>
        <v>1.0902003031750316E-2</v>
      </c>
      <c r="H17" s="15">
        <f t="shared" si="2"/>
        <v>1408.1060191121812</v>
      </c>
      <c r="I17" s="15">
        <v>634</v>
      </c>
      <c r="J17" s="21">
        <f>Messdaten!W17-Messdaten!F17</f>
        <v>12925.178800000002</v>
      </c>
      <c r="K17" s="15">
        <f t="shared" si="3"/>
        <v>8.6811462765858147E-2</v>
      </c>
      <c r="L17" s="15">
        <f t="shared" si="4"/>
        <v>2.0080586866706709E-3</v>
      </c>
      <c r="M17" s="15">
        <v>414</v>
      </c>
      <c r="N17" s="21">
        <f>Messdaten!Z17-Messdaten!L17</f>
        <v>432.22703999999999</v>
      </c>
      <c r="O17" s="15">
        <f t="shared" si="5"/>
        <v>1.0605905960062681E-3</v>
      </c>
      <c r="P17" s="15">
        <f t="shared" si="6"/>
        <v>157.11987730849475</v>
      </c>
      <c r="Q17" s="15">
        <v>494</v>
      </c>
      <c r="R17" s="15">
        <f>Messdaten!AE17-Messdaten!C17</f>
        <v>17438.64345</v>
      </c>
      <c r="S17" s="15">
        <f t="shared" si="7"/>
        <v>0.17038632737452264</v>
      </c>
      <c r="U17" s="15">
        <v>494</v>
      </c>
      <c r="V17" s="15">
        <f>Messdaten!AH17-Messdaten!C17</f>
        <v>16666.11335</v>
      </c>
      <c r="W17" s="15">
        <f t="shared" si="8"/>
        <v>0.17132025572463741</v>
      </c>
      <c r="Y17" s="24">
        <f t="shared" si="9"/>
        <v>495</v>
      </c>
      <c r="Z17" s="15">
        <f t="shared" si="10"/>
        <v>346544718718.2345</v>
      </c>
      <c r="AA17" s="15">
        <f t="shared" si="11"/>
        <v>365389914355.59412</v>
      </c>
    </row>
    <row r="18" spans="1:27" x14ac:dyDescent="0.2">
      <c r="A18" s="15">
        <v>495</v>
      </c>
      <c r="B18" s="21">
        <f>Messdaten!Q18-Messdaten!C18</f>
        <v>22576.504720000001</v>
      </c>
      <c r="C18" s="15">
        <f>(B18-MIN(B:B))/(MAX(B:B)-MIN(B:B))</f>
        <v>0.19341639618649334</v>
      </c>
      <c r="D18" s="15">
        <f t="shared" si="0"/>
        <v>3.7849027742937772E-3</v>
      </c>
      <c r="E18" s="15">
        <v>415</v>
      </c>
      <c r="F18" s="21">
        <f>Messdaten!T18-Messdaten!I18</f>
        <v>5322.9007000000001</v>
      </c>
      <c r="G18" s="15">
        <f t="shared" si="1"/>
        <v>1.1923184222658697E-2</v>
      </c>
      <c r="H18" s="15">
        <f t="shared" si="2"/>
        <v>1479.955252849184</v>
      </c>
      <c r="I18" s="15">
        <v>635</v>
      </c>
      <c r="J18" s="21">
        <f>Messdaten!W18-Messdaten!F18</f>
        <v>14905.50426</v>
      </c>
      <c r="K18" s="15">
        <f t="shared" si="3"/>
        <v>0.10142033493923215</v>
      </c>
      <c r="L18" s="15">
        <f t="shared" si="4"/>
        <v>2.315722495730557E-3</v>
      </c>
      <c r="M18" s="15">
        <v>415</v>
      </c>
      <c r="N18" s="21">
        <f>Messdaten!Z18-Messdaten!L18</f>
        <v>324.45421999999996</v>
      </c>
      <c r="O18" s="15">
        <f t="shared" si="5"/>
        <v>9.0395133893387126E-4</v>
      </c>
      <c r="P18" s="15">
        <f t="shared" si="6"/>
        <v>117.94312368477308</v>
      </c>
      <c r="Q18" s="15">
        <v>495</v>
      </c>
      <c r="R18" s="15">
        <f>Messdaten!AE18-Messdaten!C18</f>
        <v>20414.938740000001</v>
      </c>
      <c r="S18" s="15">
        <f t="shared" si="7"/>
        <v>0.1992290566121889</v>
      </c>
      <c r="U18" s="15">
        <v>495</v>
      </c>
      <c r="V18" s="15">
        <f>Messdaten!AH18-Messdaten!C18</f>
        <v>19757.2955</v>
      </c>
      <c r="W18" s="15">
        <f t="shared" si="8"/>
        <v>0.20217385524819251</v>
      </c>
      <c r="Y18" s="23">
        <f t="shared" si="9"/>
        <v>496</v>
      </c>
      <c r="Z18" s="15">
        <f t="shared" si="10"/>
        <v>384235109992.95367</v>
      </c>
      <c r="AA18" s="15">
        <f t="shared" si="11"/>
        <v>478275436424.01563</v>
      </c>
    </row>
    <row r="19" spans="1:27" x14ac:dyDescent="0.2">
      <c r="A19" s="15">
        <v>496</v>
      </c>
      <c r="B19" s="21">
        <f>Messdaten!Q19-Messdaten!C19</f>
        <v>26067.8387</v>
      </c>
      <c r="C19" s="15">
        <f>(B19-MIN(B:B))/(MAX(B:B)-MIN(B:B))</f>
        <v>0.22231925405230291</v>
      </c>
      <c r="D19" s="15">
        <f t="shared" si="0"/>
        <v>4.3702174556749847E-3</v>
      </c>
      <c r="E19" s="15">
        <v>416</v>
      </c>
      <c r="F19" s="21">
        <f>Messdaten!T19-Messdaten!I19</f>
        <v>6154.5964000000004</v>
      </c>
      <c r="G19" s="15">
        <f t="shared" si="1"/>
        <v>1.520977280663377E-2</v>
      </c>
      <c r="H19" s="15">
        <f t="shared" si="2"/>
        <v>1711.1961662832969</v>
      </c>
      <c r="I19" s="15">
        <v>636</v>
      </c>
      <c r="J19" s="21">
        <f>Messdaten!W19-Messdaten!F19</f>
        <v>16981.27579</v>
      </c>
      <c r="K19" s="15">
        <f t="shared" si="3"/>
        <v>0.116733313313453</v>
      </c>
      <c r="L19" s="15">
        <f t="shared" si="4"/>
        <v>2.6382148277020244E-3</v>
      </c>
      <c r="M19" s="15">
        <v>416</v>
      </c>
      <c r="N19" s="21">
        <f>Messdaten!Z19-Messdaten!L19</f>
        <v>446.14209999999997</v>
      </c>
      <c r="O19" s="15">
        <f t="shared" si="5"/>
        <v>1.0808150334898363E-3</v>
      </c>
      <c r="P19" s="15">
        <f t="shared" si="6"/>
        <v>162.17817379994133</v>
      </c>
      <c r="Q19" s="15">
        <v>496</v>
      </c>
      <c r="R19" s="15">
        <f>Messdaten!AE19-Messdaten!C19</f>
        <v>24205.245339999998</v>
      </c>
      <c r="S19" s="15">
        <f t="shared" si="7"/>
        <v>0.2359602194638222</v>
      </c>
      <c r="U19" s="15">
        <v>496</v>
      </c>
      <c r="V19" s="15">
        <f>Messdaten!AH19-Messdaten!C19</f>
        <v>23506.266009999999</v>
      </c>
      <c r="W19" s="15">
        <f t="shared" si="8"/>
        <v>0.23959294902147854</v>
      </c>
      <c r="Y19" s="24">
        <f t="shared" si="9"/>
        <v>497</v>
      </c>
      <c r="Z19" s="15">
        <f t="shared" si="10"/>
        <v>572315762855.07764</v>
      </c>
      <c r="AA19" s="15">
        <f t="shared" si="11"/>
        <v>616603222034.25659</v>
      </c>
    </row>
    <row r="20" spans="1:27" x14ac:dyDescent="0.2">
      <c r="A20" s="15">
        <v>497</v>
      </c>
      <c r="B20" s="21">
        <f>Messdaten!Q20-Messdaten!C20</f>
        <v>30621.404129999999</v>
      </c>
      <c r="C20" s="15">
        <f>(B20-MIN(B:B))/(MAX(B:B)-MIN(B:B))</f>
        <v>0.26001574919137699</v>
      </c>
      <c r="D20" s="15">
        <f t="shared" si="0"/>
        <v>5.1336129698471731E-3</v>
      </c>
      <c r="E20" s="15">
        <v>417</v>
      </c>
      <c r="F20" s="21">
        <f>Messdaten!T20-Messdaten!I20</f>
        <v>6552.2365600000003</v>
      </c>
      <c r="G20" s="15">
        <f t="shared" si="1"/>
        <v>1.6781116280437977E-2</v>
      </c>
      <c r="H20" s="15">
        <f t="shared" si="2"/>
        <v>1821.7542391655863</v>
      </c>
      <c r="I20" s="15">
        <v>637</v>
      </c>
      <c r="J20" s="21">
        <f>Messdaten!W20-Messdaten!F20</f>
        <v>20229.539550000001</v>
      </c>
      <c r="K20" s="15">
        <f t="shared" si="3"/>
        <v>0.14069577353210982</v>
      </c>
      <c r="L20" s="15">
        <f t="shared" si="4"/>
        <v>3.1428658163495113E-3</v>
      </c>
      <c r="M20" s="15">
        <v>417</v>
      </c>
      <c r="N20" s="21">
        <f>Messdaten!Z20-Messdaten!L20</f>
        <v>130.52671999999995</v>
      </c>
      <c r="O20" s="15">
        <f t="shared" si="5"/>
        <v>6.2209307888363562E-4</v>
      </c>
      <c r="P20" s="15">
        <f t="shared" si="6"/>
        <v>47.448077824747479</v>
      </c>
      <c r="Q20" s="15">
        <v>497</v>
      </c>
      <c r="R20" s="15">
        <f>Messdaten!AE20-Messdaten!C20</f>
        <v>28054.46702</v>
      </c>
      <c r="S20" s="15">
        <f t="shared" si="7"/>
        <v>0.27326231749993302</v>
      </c>
      <c r="U20" s="15">
        <v>497</v>
      </c>
      <c r="V20" s="15">
        <f>Messdaten!AH20-Messdaten!C20</f>
        <v>27196.057049999999</v>
      </c>
      <c r="W20" s="15">
        <f t="shared" si="8"/>
        <v>0.27642136273167089</v>
      </c>
      <c r="Y20" s="23">
        <f t="shared" si="9"/>
        <v>498</v>
      </c>
      <c r="Z20" s="15">
        <f t="shared" si="10"/>
        <v>660890681213.43567</v>
      </c>
      <c r="AA20" s="15">
        <f t="shared" si="11"/>
        <v>729336022505.93481</v>
      </c>
    </row>
    <row r="21" spans="1:27" x14ac:dyDescent="0.2">
      <c r="A21" s="15">
        <v>498</v>
      </c>
      <c r="B21" s="21">
        <f>Messdaten!Q21-Messdaten!C21</f>
        <v>35362.887549999999</v>
      </c>
      <c r="C21" s="15">
        <f>(B21-MIN(B:B))/(MAX(B:B)-MIN(B:B))</f>
        <v>0.29926791531080182</v>
      </c>
      <c r="D21" s="15">
        <f t="shared" si="0"/>
        <v>5.9285125334952145E-3</v>
      </c>
      <c r="E21" s="15">
        <v>418</v>
      </c>
      <c r="F21" s="21">
        <f>Messdaten!T21-Messdaten!I21</f>
        <v>6867.0826699999998</v>
      </c>
      <c r="G21" s="15">
        <f t="shared" si="1"/>
        <v>1.802528482770227E-2</v>
      </c>
      <c r="H21" s="15">
        <f t="shared" si="2"/>
        <v>1909.2926285880362</v>
      </c>
      <c r="I21" s="15">
        <v>638</v>
      </c>
      <c r="J21" s="21">
        <f>Messdaten!W21-Messdaten!F21</f>
        <v>22775.107800000002</v>
      </c>
      <c r="K21" s="15">
        <f t="shared" si="3"/>
        <v>0.15947444497980678</v>
      </c>
      <c r="L21" s="15">
        <f t="shared" si="4"/>
        <v>3.5383458724494361E-3</v>
      </c>
      <c r="M21" s="15">
        <v>418</v>
      </c>
      <c r="N21" s="21">
        <f>Messdaten!Z21-Messdaten!L21</f>
        <v>3.1943499999999858</v>
      </c>
      <c r="O21" s="15">
        <f t="shared" si="5"/>
        <v>4.3702556521861747E-4</v>
      </c>
      <c r="P21" s="15">
        <f t="shared" si="6"/>
        <v>1.1611857510820889</v>
      </c>
      <c r="Q21" s="15">
        <v>498</v>
      </c>
      <c r="R21" s="15">
        <f>Messdaten!AE21-Messdaten!C21</f>
        <v>32392.409479999995</v>
      </c>
      <c r="S21" s="15">
        <f t="shared" si="7"/>
        <v>0.31530051856242086</v>
      </c>
      <c r="U21" s="15">
        <v>498</v>
      </c>
      <c r="V21" s="15">
        <f>Messdaten!AH21-Messdaten!C21</f>
        <v>31242.121499999997</v>
      </c>
      <c r="W21" s="15">
        <f t="shared" si="8"/>
        <v>0.31680580018282306</v>
      </c>
      <c r="Y21" s="24">
        <f t="shared" si="9"/>
        <v>499</v>
      </c>
      <c r="Z21" s="15">
        <f t="shared" si="10"/>
        <v>797781363798.43408</v>
      </c>
      <c r="AA21" s="15">
        <f t="shared" si="11"/>
        <v>833143744453.67908</v>
      </c>
    </row>
    <row r="22" spans="1:27" x14ac:dyDescent="0.2">
      <c r="A22" s="15">
        <v>499</v>
      </c>
      <c r="B22" s="21">
        <f>Messdaten!Q22-Messdaten!C22</f>
        <v>40441.361989999998</v>
      </c>
      <c r="C22" s="15">
        <f>(B22-MIN(B:B))/(MAX(B:B)-MIN(B:B))</f>
        <v>0.34130984706390977</v>
      </c>
      <c r="D22" s="15">
        <f t="shared" si="0"/>
        <v>6.7799079215557995E-3</v>
      </c>
      <c r="E22" s="15">
        <v>419</v>
      </c>
      <c r="F22" s="21">
        <f>Messdaten!T22-Messdaten!I22</f>
        <v>7201.1320500000002</v>
      </c>
      <c r="G22" s="15">
        <f t="shared" si="1"/>
        <v>1.9345338398728248E-2</v>
      </c>
      <c r="H22" s="15">
        <f t="shared" si="2"/>
        <v>2002.1702084087558</v>
      </c>
      <c r="I22" s="15">
        <v>639</v>
      </c>
      <c r="J22" s="21">
        <f>Messdaten!W22-Messdaten!F22</f>
        <v>25484.629070000003</v>
      </c>
      <c r="K22" s="15">
        <f t="shared" si="3"/>
        <v>0.17946259878785206</v>
      </c>
      <c r="L22" s="15">
        <f t="shared" si="4"/>
        <v>3.9592977066277334E-3</v>
      </c>
      <c r="M22" s="15">
        <v>419</v>
      </c>
      <c r="N22" s="21">
        <f>Messdaten!Z22-Messdaten!L22</f>
        <v>75.31722000000002</v>
      </c>
      <c r="O22" s="15">
        <f t="shared" si="5"/>
        <v>5.4185044383577778E-4</v>
      </c>
      <c r="P22" s="15">
        <f t="shared" si="6"/>
        <v>27.378741426304359</v>
      </c>
      <c r="Q22" s="15">
        <v>499</v>
      </c>
      <c r="R22" s="15">
        <f>Messdaten!AE22-Messdaten!C22</f>
        <v>37083.537959999994</v>
      </c>
      <c r="S22" s="15">
        <f t="shared" si="7"/>
        <v>0.36076138026601368</v>
      </c>
      <c r="U22" s="15">
        <v>499</v>
      </c>
      <c r="V22" s="15">
        <f>Messdaten!AH22-Messdaten!C22</f>
        <v>35546.47133</v>
      </c>
      <c r="W22" s="15">
        <f t="shared" si="8"/>
        <v>0.35976822666555308</v>
      </c>
      <c r="Y22" s="23">
        <f t="shared" si="9"/>
        <v>500</v>
      </c>
      <c r="Z22" s="15">
        <f t="shared" si="10"/>
        <v>868506125108.92407</v>
      </c>
      <c r="AA22" s="15">
        <f t="shared" si="11"/>
        <v>947292899782.33105</v>
      </c>
    </row>
    <row r="23" spans="1:27" x14ac:dyDescent="0.2">
      <c r="A23" s="15">
        <v>500</v>
      </c>
      <c r="B23" s="21">
        <f>Messdaten!Q23-Messdaten!C23</f>
        <v>45885.518980000001</v>
      </c>
      <c r="C23" s="15">
        <f>(B23-MIN(B:B))/(MAX(B:B)-MIN(B:B))</f>
        <v>0.38637906604510958</v>
      </c>
      <c r="D23" s="15">
        <f t="shared" si="0"/>
        <v>7.6926092077246834E-3</v>
      </c>
      <c r="E23" s="15">
        <v>420</v>
      </c>
      <c r="F23" s="21">
        <f>Messdaten!T23-Messdaten!I23</f>
        <v>7439.1415699999998</v>
      </c>
      <c r="G23" s="15">
        <f t="shared" si="1"/>
        <v>2.0285873947137826E-2</v>
      </c>
      <c r="H23" s="15">
        <f t="shared" si="2"/>
        <v>2068.3452996239857</v>
      </c>
      <c r="I23" s="15">
        <v>640</v>
      </c>
      <c r="J23" s="21">
        <f>Messdaten!W23-Messdaten!F23</f>
        <v>30244.165710000001</v>
      </c>
      <c r="K23" s="15">
        <f t="shared" si="3"/>
        <v>0.21457372763141599</v>
      </c>
      <c r="L23" s="15">
        <f t="shared" si="4"/>
        <v>4.6987403899644885E-3</v>
      </c>
      <c r="M23" s="15">
        <v>420</v>
      </c>
      <c r="N23" s="21">
        <f>Messdaten!Z23-Messdaten!L23</f>
        <v>487.14469000000003</v>
      </c>
      <c r="O23" s="15">
        <f t="shared" si="5"/>
        <v>1.1404090501968694E-3</v>
      </c>
      <c r="P23" s="15">
        <f t="shared" si="6"/>
        <v>177.08312262065957</v>
      </c>
      <c r="Q23" s="15">
        <v>500</v>
      </c>
      <c r="R23" s="15">
        <f>Messdaten!AE23-Messdaten!C23</f>
        <v>42055.393259999997</v>
      </c>
      <c r="S23" s="15">
        <f t="shared" si="7"/>
        <v>0.40894271385497888</v>
      </c>
      <c r="U23" s="15">
        <v>500</v>
      </c>
      <c r="V23" s="15">
        <f>Messdaten!AH23-Messdaten!C23</f>
        <v>40783.987220000003</v>
      </c>
      <c r="W23" s="15">
        <f t="shared" si="8"/>
        <v>0.41204473769817412</v>
      </c>
      <c r="Y23" s="24">
        <f t="shared" si="9"/>
        <v>501</v>
      </c>
      <c r="Z23" s="15">
        <f t="shared" si="10"/>
        <v>1026079674455.738</v>
      </c>
      <c r="AA23" s="15">
        <f t="shared" si="11"/>
        <v>1141984942047.8696</v>
      </c>
    </row>
    <row r="24" spans="1:27" x14ac:dyDescent="0.2">
      <c r="A24" s="15">
        <v>501</v>
      </c>
      <c r="B24" s="21">
        <f>Messdaten!Q24-Messdaten!C24</f>
        <v>51965.070670000001</v>
      </c>
      <c r="C24" s="15">
        <f>(B24-MIN(B:B))/(MAX(B:B)-MIN(B:B))</f>
        <v>0.43670837266272294</v>
      </c>
      <c r="D24" s="15">
        <f t="shared" si="0"/>
        <v>8.7118330576220031E-3</v>
      </c>
      <c r="E24" s="15">
        <v>421</v>
      </c>
      <c r="F24" s="21">
        <f>Messdaten!T24-Messdaten!I24</f>
        <v>8325.9557999999997</v>
      </c>
      <c r="G24" s="15">
        <f t="shared" si="1"/>
        <v>2.3790272881056378E-2</v>
      </c>
      <c r="H24" s="15">
        <f t="shared" si="2"/>
        <v>2314.9111200214816</v>
      </c>
      <c r="I24" s="15">
        <v>641</v>
      </c>
      <c r="J24" s="21">
        <f>Messdaten!W24-Messdaten!F24</f>
        <v>34541.996959999997</v>
      </c>
      <c r="K24" s="15">
        <f t="shared" si="3"/>
        <v>0.24627885318889994</v>
      </c>
      <c r="L24" s="15">
        <f t="shared" si="4"/>
        <v>5.36645242002222E-3</v>
      </c>
      <c r="M24" s="15">
        <v>421</v>
      </c>
      <c r="N24" s="21">
        <f>Messdaten!Z24-Messdaten!L24</f>
        <v>-297.49322000000006</v>
      </c>
      <c r="O24" s="15">
        <f t="shared" si="5"/>
        <v>0</v>
      </c>
      <c r="P24" s="15">
        <f t="shared" si="6"/>
        <v>-108.14246657615186</v>
      </c>
      <c r="Q24" s="15">
        <v>501</v>
      </c>
      <c r="R24" s="15">
        <f>Messdaten!AE24-Messdaten!C24</f>
        <v>46992.125210000006</v>
      </c>
      <c r="S24" s="15">
        <f t="shared" si="7"/>
        <v>0.45678367353098814</v>
      </c>
      <c r="U24" s="15">
        <v>501</v>
      </c>
      <c r="V24" s="15">
        <f>Messdaten!AH24-Messdaten!C24</f>
        <v>45585.089870000003</v>
      </c>
      <c r="W24" s="15">
        <f t="shared" si="8"/>
        <v>0.45996533611214308</v>
      </c>
      <c r="Y24" s="23">
        <f t="shared" si="9"/>
        <v>502</v>
      </c>
      <c r="Z24" s="15">
        <f t="shared" si="10"/>
        <v>1257890209640.0015</v>
      </c>
      <c r="AA24" s="15">
        <f t="shared" si="11"/>
        <v>1382390422475.7043</v>
      </c>
    </row>
    <row r="25" spans="1:27" x14ac:dyDescent="0.2">
      <c r="A25" s="15">
        <v>502</v>
      </c>
      <c r="B25" s="21">
        <f>Messdaten!Q25-Messdaten!C25</f>
        <v>57859.319289999999</v>
      </c>
      <c r="C25" s="15">
        <f>(B25-MIN(B:B))/(MAX(B:B)-MIN(B:B))</f>
        <v>0.48550365580249411</v>
      </c>
      <c r="D25" s="15">
        <f t="shared" si="0"/>
        <v>9.699991243793846E-3</v>
      </c>
      <c r="E25" s="15">
        <v>422</v>
      </c>
      <c r="F25" s="21">
        <f>Messdaten!T25-Messdaten!I25</f>
        <v>9085.3914000000004</v>
      </c>
      <c r="G25" s="15">
        <f t="shared" si="1"/>
        <v>2.6791313253423654E-2</v>
      </c>
      <c r="H25" s="15">
        <f t="shared" si="2"/>
        <v>2526.0611618437292</v>
      </c>
      <c r="I25" s="15">
        <v>642</v>
      </c>
      <c r="J25" s="21">
        <f>Messdaten!W25-Messdaten!F25</f>
        <v>37899.069530000001</v>
      </c>
      <c r="K25" s="15">
        <f t="shared" si="3"/>
        <v>0.27104399661732925</v>
      </c>
      <c r="L25" s="15">
        <f t="shared" si="4"/>
        <v>5.888007969874447E-3</v>
      </c>
      <c r="M25" s="15">
        <v>422</v>
      </c>
      <c r="N25" s="21">
        <f>Messdaten!Z25-Messdaten!L25</f>
        <v>506.24123999999995</v>
      </c>
      <c r="O25" s="15">
        <f t="shared" si="5"/>
        <v>1.1681643729642042E-3</v>
      </c>
      <c r="P25" s="15">
        <f t="shared" si="6"/>
        <v>184.0249548415579</v>
      </c>
      <c r="Q25" s="15">
        <v>502</v>
      </c>
      <c r="R25" s="15">
        <f>Messdaten!AE25-Messdaten!C25</f>
        <v>52690.355889999999</v>
      </c>
      <c r="S25" s="15">
        <f t="shared" si="7"/>
        <v>0.51200417708425028</v>
      </c>
      <c r="U25" s="15">
        <v>502</v>
      </c>
      <c r="V25" s="15">
        <f>Messdaten!AH25-Messdaten!C25</f>
        <v>50915.12</v>
      </c>
      <c r="W25" s="15">
        <f t="shared" si="8"/>
        <v>0.51316524705220268</v>
      </c>
      <c r="Y25" s="24">
        <f t="shared" si="9"/>
        <v>503</v>
      </c>
      <c r="Z25" s="15">
        <f t="shared" si="10"/>
        <v>1506890635311.4072</v>
      </c>
      <c r="AA25" s="15">
        <f t="shared" si="11"/>
        <v>1675216746427.4771</v>
      </c>
    </row>
    <row r="26" spans="1:27" x14ac:dyDescent="0.2">
      <c r="A26" s="15">
        <v>503</v>
      </c>
      <c r="B26" s="21">
        <f>Messdaten!Q26-Messdaten!C26</f>
        <v>63955.709280000003</v>
      </c>
      <c r="C26" s="15">
        <f>(B26-MIN(B:B))/(MAX(B:B)-MIN(B:B))</f>
        <v>0.53597235756087314</v>
      </c>
      <c r="D26" s="15">
        <f t="shared" si="0"/>
        <v>1.0722037998705686E-2</v>
      </c>
      <c r="E26" s="15">
        <v>423</v>
      </c>
      <c r="F26" s="21">
        <f>Messdaten!T26-Messdaten!I26</f>
        <v>9484.6907299999984</v>
      </c>
      <c r="G26" s="15">
        <f t="shared" si="1"/>
        <v>2.8369213222807756E-2</v>
      </c>
      <c r="H26" s="15">
        <f t="shared" si="2"/>
        <v>2637.0805428539102</v>
      </c>
      <c r="I26" s="15">
        <v>643</v>
      </c>
      <c r="J26" s="21">
        <f>Messdaten!W26-Messdaten!F26</f>
        <v>42898.907040000006</v>
      </c>
      <c r="K26" s="15">
        <f t="shared" si="3"/>
        <v>0.3079278263446058</v>
      </c>
      <c r="L26" s="15">
        <f t="shared" si="4"/>
        <v>6.6647838504446536E-3</v>
      </c>
      <c r="M26" s="15">
        <v>423</v>
      </c>
      <c r="N26" s="21">
        <f>Messdaten!Z26-Messdaten!L26</f>
        <v>187.05416000000002</v>
      </c>
      <c r="O26" s="15">
        <f t="shared" si="5"/>
        <v>7.0425123532609024E-4</v>
      </c>
      <c r="P26" s="15">
        <f t="shared" si="6"/>
        <v>67.996501721048162</v>
      </c>
      <c r="Q26" s="15">
        <v>503</v>
      </c>
      <c r="R26" s="15">
        <f>Messdaten!AE26-Messdaten!C26</f>
        <v>58134.466840000001</v>
      </c>
      <c r="S26" s="15">
        <f t="shared" si="7"/>
        <v>0.56476205315865824</v>
      </c>
      <c r="U26" s="15">
        <v>503</v>
      </c>
      <c r="V26" s="15">
        <f>Messdaten!AH26-Messdaten!C26</f>
        <v>56416.7621</v>
      </c>
      <c r="W26" s="15">
        <f t="shared" si="8"/>
        <v>0.56807804540519868</v>
      </c>
      <c r="Y26" s="23">
        <f t="shared" si="9"/>
        <v>504</v>
      </c>
      <c r="Z26" s="15">
        <f t="shared" si="10"/>
        <v>1843542857543.5466</v>
      </c>
      <c r="AA26" s="15">
        <f t="shared" si="11"/>
        <v>1953640207839.7437</v>
      </c>
    </row>
    <row r="27" spans="1:27" x14ac:dyDescent="0.2">
      <c r="A27" s="15">
        <v>504</v>
      </c>
      <c r="B27" s="21">
        <f>Messdaten!Q27-Messdaten!C27</f>
        <v>70620.97030999999</v>
      </c>
      <c r="C27" s="15">
        <f>(B27-MIN(B:B))/(MAX(B:B)-MIN(B:B))</f>
        <v>0.59115043370373732</v>
      </c>
      <c r="D27" s="15">
        <f t="shared" si="0"/>
        <v>1.1839454767896305E-2</v>
      </c>
      <c r="E27" s="15">
        <v>424</v>
      </c>
      <c r="F27" s="21">
        <f>Messdaten!T27-Messdaten!I27</f>
        <v>10171.04902</v>
      </c>
      <c r="G27" s="15">
        <f t="shared" si="1"/>
        <v>3.1081476037717895E-2</v>
      </c>
      <c r="H27" s="15">
        <f t="shared" si="2"/>
        <v>2827.9124996894166</v>
      </c>
      <c r="I27" s="15">
        <v>644</v>
      </c>
      <c r="J27" s="21">
        <f>Messdaten!W27-Messdaten!F27</f>
        <v>48184.674490000005</v>
      </c>
      <c r="K27" s="15">
        <f t="shared" si="3"/>
        <v>0.34692096286431257</v>
      </c>
      <c r="L27" s="15">
        <f t="shared" si="4"/>
        <v>7.4859818708305362E-3</v>
      </c>
      <c r="M27" s="15">
        <v>424</v>
      </c>
      <c r="N27" s="21">
        <f>Messdaten!Z27-Messdaten!L27</f>
        <v>4.6871099999999615</v>
      </c>
      <c r="O27" s="15">
        <f t="shared" si="5"/>
        <v>4.3919517363553919E-4</v>
      </c>
      <c r="P27" s="15">
        <f t="shared" si="6"/>
        <v>1.703822482118224</v>
      </c>
      <c r="Q27" s="15">
        <v>504</v>
      </c>
      <c r="R27" s="15">
        <f>Messdaten!AE27-Messdaten!C27</f>
        <v>63303.824230000006</v>
      </c>
      <c r="S27" s="15">
        <f t="shared" si="7"/>
        <v>0.61485734310970985</v>
      </c>
      <c r="U27" s="15">
        <v>504</v>
      </c>
      <c r="V27" s="15">
        <f>Messdaten!AH27-Messdaten!C27</f>
        <v>61847.049740000002</v>
      </c>
      <c r="W27" s="15">
        <f t="shared" si="8"/>
        <v>0.62227864310930714</v>
      </c>
      <c r="Y27" s="24">
        <f t="shared" si="9"/>
        <v>505</v>
      </c>
      <c r="Z27" s="15">
        <f t="shared" si="10"/>
        <v>2063737558135.9407</v>
      </c>
      <c r="AA27" s="15">
        <f t="shared" si="11"/>
        <v>2162908455370.8271</v>
      </c>
    </row>
    <row r="28" spans="1:27" x14ac:dyDescent="0.2">
      <c r="A28" s="15">
        <v>505</v>
      </c>
      <c r="B28" s="21">
        <f>Messdaten!Q28-Messdaten!C28</f>
        <v>77089.153250000003</v>
      </c>
      <c r="C28" s="15">
        <f>(B28-MIN(B:B))/(MAX(B:B)-MIN(B:B))</f>
        <v>0.64469700737323055</v>
      </c>
      <c r="D28" s="15">
        <f t="shared" si="0"/>
        <v>1.2923831816419595E-2</v>
      </c>
      <c r="E28" s="15">
        <v>425</v>
      </c>
      <c r="F28" s="21">
        <f>Messdaten!T28-Messdaten!I28</f>
        <v>11189.036399999999</v>
      </c>
      <c r="G28" s="15">
        <f t="shared" si="1"/>
        <v>3.5104228231505462E-2</v>
      </c>
      <c r="H28" s="15">
        <f t="shared" si="2"/>
        <v>3110.9491098529638</v>
      </c>
      <c r="I28" s="15">
        <v>645</v>
      </c>
      <c r="J28" s="21">
        <f>Messdaten!W28-Messdaten!F28</f>
        <v>53723.920870000002</v>
      </c>
      <c r="K28" s="15">
        <f t="shared" si="3"/>
        <v>0.38778401489124786</v>
      </c>
      <c r="L28" s="15">
        <f t="shared" si="4"/>
        <v>8.3465604348166734E-3</v>
      </c>
      <c r="M28" s="15">
        <v>425</v>
      </c>
      <c r="N28" s="21">
        <f>Messdaten!Z28-Messdaten!L28</f>
        <v>-47.210860000000025</v>
      </c>
      <c r="O28" s="15">
        <f t="shared" si="5"/>
        <v>3.6376558513293218E-4</v>
      </c>
      <c r="P28" s="15">
        <f t="shared" si="6"/>
        <v>-17.161731785287028</v>
      </c>
      <c r="Q28" s="15">
        <v>505</v>
      </c>
      <c r="R28" s="15">
        <f>Messdaten!AE28-Messdaten!C28</f>
        <v>69618.721009999994</v>
      </c>
      <c r="S28" s="15">
        <f t="shared" si="7"/>
        <v>0.67605384421002579</v>
      </c>
      <c r="U28" s="15">
        <v>505</v>
      </c>
      <c r="V28" s="15">
        <f>Messdaten!AH28-Messdaten!C28</f>
        <v>67278.83455</v>
      </c>
      <c r="W28" s="15">
        <f t="shared" si="8"/>
        <v>0.67649418431443131</v>
      </c>
      <c r="Y28" s="23">
        <f t="shared" si="9"/>
        <v>506</v>
      </c>
      <c r="Z28" s="15">
        <f t="shared" si="10"/>
        <v>2262079352605.7134</v>
      </c>
      <c r="AA28" s="15">
        <f t="shared" si="11"/>
        <v>2442068994413.0586</v>
      </c>
    </row>
    <row r="29" spans="1:27" x14ac:dyDescent="0.2">
      <c r="A29" s="15">
        <v>506</v>
      </c>
      <c r="B29" s="21">
        <f>Messdaten!Q29-Messdaten!C29</f>
        <v>83075.86421</v>
      </c>
      <c r="C29" s="15">
        <f>(B29-MIN(B:B))/(MAX(B:B)-MIN(B:B))</f>
        <v>0.69425773600927021</v>
      </c>
      <c r="D29" s="15">
        <f t="shared" si="0"/>
        <v>1.3927491116316703E-2</v>
      </c>
      <c r="E29" s="15">
        <v>426</v>
      </c>
      <c r="F29" s="21">
        <f>Messdaten!T29-Messdaten!I29</f>
        <v>11691.296849999999</v>
      </c>
      <c r="G29" s="15">
        <f t="shared" si="1"/>
        <v>3.7088996772634365E-2</v>
      </c>
      <c r="H29" s="15">
        <f t="shared" si="2"/>
        <v>3250.5953353171917</v>
      </c>
      <c r="I29" s="15">
        <v>646</v>
      </c>
      <c r="J29" s="21">
        <f>Messdaten!W29-Messdaten!F29</f>
        <v>59413.843209999999</v>
      </c>
      <c r="K29" s="15">
        <f t="shared" si="3"/>
        <v>0.42975860433145285</v>
      </c>
      <c r="L29" s="15">
        <f t="shared" si="4"/>
        <v>9.2305480498521032E-3</v>
      </c>
      <c r="M29" s="15">
        <v>426</v>
      </c>
      <c r="N29" s="21">
        <f>Messdaten!Z29-Messdaten!L29</f>
        <v>-8.5309499999999616</v>
      </c>
      <c r="O29" s="15">
        <f t="shared" si="5"/>
        <v>4.1998377044187351E-4</v>
      </c>
      <c r="P29" s="15">
        <f t="shared" si="6"/>
        <v>-3.101105884825941</v>
      </c>
      <c r="Q29" s="15">
        <v>506</v>
      </c>
      <c r="R29" s="15">
        <f>Messdaten!AE29-Messdaten!C29</f>
        <v>75344.365189999997</v>
      </c>
      <c r="S29" s="15">
        <f t="shared" si="7"/>
        <v>0.73154000694052534</v>
      </c>
      <c r="U29" s="15">
        <v>506</v>
      </c>
      <c r="V29" s="15">
        <f>Messdaten!AH29-Messdaten!C29</f>
        <v>72788.745739999998</v>
      </c>
      <c r="W29" s="15">
        <f t="shared" si="8"/>
        <v>0.73148951782029248</v>
      </c>
      <c r="Y29" s="24">
        <f t="shared" si="9"/>
        <v>507</v>
      </c>
      <c r="Z29" s="15">
        <f t="shared" si="10"/>
        <v>2622058636220.4038</v>
      </c>
      <c r="AA29" s="15">
        <f t="shared" si="11"/>
        <v>2721651124091.1338</v>
      </c>
    </row>
    <row r="30" spans="1:27" x14ac:dyDescent="0.2">
      <c r="A30" s="15">
        <v>507</v>
      </c>
      <c r="B30" s="21">
        <f>Messdaten!Q30-Messdaten!C30</f>
        <v>88440.305070000002</v>
      </c>
      <c r="C30" s="15">
        <f>(B30-MIN(B:B))/(MAX(B:B)-MIN(B:B))</f>
        <v>0.73866702844428422</v>
      </c>
      <c r="D30" s="15">
        <f t="shared" si="0"/>
        <v>1.4826828163630415E-2</v>
      </c>
      <c r="E30" s="15">
        <v>427</v>
      </c>
      <c r="F30" s="21">
        <f>Messdaten!T30-Messdaten!I30</f>
        <v>12565.55825</v>
      </c>
      <c r="G30" s="15">
        <f t="shared" si="1"/>
        <v>4.0543791040117134E-2</v>
      </c>
      <c r="H30" s="15">
        <f t="shared" si="2"/>
        <v>3493.6710235961941</v>
      </c>
      <c r="I30" s="15">
        <v>647</v>
      </c>
      <c r="J30" s="21">
        <f>Messdaten!W30-Messdaten!F30</f>
        <v>63707.692429999996</v>
      </c>
      <c r="K30" s="15">
        <f t="shared" si="3"/>
        <v>0.4614343544309954</v>
      </c>
      <c r="L30" s="15">
        <f t="shared" si="4"/>
        <v>9.8976414308330363E-3</v>
      </c>
      <c r="M30" s="15">
        <v>427</v>
      </c>
      <c r="N30" s="21">
        <f>Messdaten!Z30-Messdaten!L30</f>
        <v>75.418909999999983</v>
      </c>
      <c r="O30" s="15">
        <f t="shared" si="5"/>
        <v>5.4199824219580662E-4</v>
      </c>
      <c r="P30" s="15">
        <f t="shared" si="6"/>
        <v>27.415706999590782</v>
      </c>
      <c r="Q30" s="15">
        <v>507</v>
      </c>
      <c r="R30" s="15">
        <f>Messdaten!AE30-Messdaten!C30</f>
        <v>80179.885020000002</v>
      </c>
      <c r="S30" s="15">
        <f t="shared" si="7"/>
        <v>0.77840013861114865</v>
      </c>
      <c r="U30" s="15">
        <v>507</v>
      </c>
      <c r="V30" s="15">
        <f>Messdaten!AH30-Messdaten!C30</f>
        <v>77709.562080000003</v>
      </c>
      <c r="W30" s="15">
        <f t="shared" si="8"/>
        <v>0.78060499834392516</v>
      </c>
      <c r="Y30" s="23">
        <f t="shared" si="9"/>
        <v>508</v>
      </c>
      <c r="Z30" s="15">
        <f t="shared" si="10"/>
        <v>2821243611961.8633</v>
      </c>
      <c r="AA30" s="15">
        <f t="shared" si="11"/>
        <v>3113000636002.291</v>
      </c>
    </row>
    <row r="31" spans="1:27" x14ac:dyDescent="0.2">
      <c r="A31" s="15">
        <v>508</v>
      </c>
      <c r="B31" s="21">
        <f>Messdaten!Q31-Messdaten!C31</f>
        <v>94859.329189999989</v>
      </c>
      <c r="C31" s="15">
        <f>(B31-MIN(B:B))/(MAX(B:B)-MIN(B:B))</f>
        <v>0.79180664294130887</v>
      </c>
      <c r="D31" s="15">
        <f t="shared" si="0"/>
        <v>1.590296384102444E-2</v>
      </c>
      <c r="E31" s="15">
        <v>428</v>
      </c>
      <c r="F31" s="21">
        <f>Messdaten!T31-Messdaten!I31</f>
        <v>13453.09973</v>
      </c>
      <c r="G31" s="15">
        <f t="shared" si="1"/>
        <v>4.405106382747475E-2</v>
      </c>
      <c r="H31" s="15">
        <f t="shared" si="2"/>
        <v>3740.4390452967564</v>
      </c>
      <c r="I31" s="15">
        <v>648</v>
      </c>
      <c r="J31" s="21">
        <f>Messdaten!W31-Messdaten!F31</f>
        <v>69808.184010000012</v>
      </c>
      <c r="K31" s="15">
        <f t="shared" si="3"/>
        <v>0.50643771548810401</v>
      </c>
      <c r="L31" s="15">
        <f t="shared" si="4"/>
        <v>1.0845415175377314E-2</v>
      </c>
      <c r="M31" s="15">
        <v>428</v>
      </c>
      <c r="N31" s="21">
        <f>Messdaten!Z31-Messdaten!L31</f>
        <v>-81.317330000000084</v>
      </c>
      <c r="O31" s="15">
        <f t="shared" si="5"/>
        <v>3.1419453259703305E-4</v>
      </c>
      <c r="P31" s="15">
        <f t="shared" si="6"/>
        <v>-29.559855655153815</v>
      </c>
      <c r="Q31" s="15">
        <v>508</v>
      </c>
      <c r="R31" s="15">
        <f>Messdaten!AE31-Messdaten!C31</f>
        <v>84579.850079999989</v>
      </c>
      <c r="S31" s="15">
        <f t="shared" si="7"/>
        <v>0.82103938926183651</v>
      </c>
      <c r="U31" s="15">
        <v>508</v>
      </c>
      <c r="V31" s="15">
        <f>Messdaten!AH31-Messdaten!C31</f>
        <v>82104.427069999991</v>
      </c>
      <c r="W31" s="15">
        <f t="shared" si="8"/>
        <v>0.82447087158648147</v>
      </c>
      <c r="Y31" s="24">
        <f t="shared" si="9"/>
        <v>509</v>
      </c>
      <c r="Z31" s="15">
        <f t="shared" si="10"/>
        <v>3404757660042.7188</v>
      </c>
      <c r="AA31" s="15">
        <f t="shared" si="11"/>
        <v>3449896791001.082</v>
      </c>
    </row>
    <row r="32" spans="1:27" x14ac:dyDescent="0.2">
      <c r="A32" s="15">
        <v>509</v>
      </c>
      <c r="B32" s="21">
        <f>Messdaten!Q32-Messdaten!C32</f>
        <v>100043.29273999999</v>
      </c>
      <c r="C32" s="15">
        <f>(B32-MIN(B:B))/(MAX(B:B)-MIN(B:B))</f>
        <v>0.83472186174463514</v>
      </c>
      <c r="D32" s="15">
        <f t="shared" si="0"/>
        <v>1.6772044252964878E-2</v>
      </c>
      <c r="E32" s="15">
        <v>429</v>
      </c>
      <c r="F32" s="21">
        <f>Messdaten!T32-Messdaten!I32</f>
        <v>14125.416000000001</v>
      </c>
      <c r="G32" s="15">
        <f t="shared" si="1"/>
        <v>4.6707837185570394E-2</v>
      </c>
      <c r="H32" s="15">
        <f t="shared" si="2"/>
        <v>3927.3668223568234</v>
      </c>
      <c r="I32" s="15">
        <v>649</v>
      </c>
      <c r="J32" s="21">
        <f>Messdaten!W32-Messdaten!F32</f>
        <v>77722.983769999992</v>
      </c>
      <c r="K32" s="15">
        <f t="shared" si="3"/>
        <v>0.56482523830048603</v>
      </c>
      <c r="L32" s="15">
        <f t="shared" si="4"/>
        <v>1.2075060247005019E-2</v>
      </c>
      <c r="M32" s="15">
        <v>429</v>
      </c>
      <c r="N32" s="21">
        <f>Messdaten!Z32-Messdaten!L32</f>
        <v>295.14352000000008</v>
      </c>
      <c r="O32" s="15">
        <f t="shared" si="5"/>
        <v>8.6135055821502323E-4</v>
      </c>
      <c r="P32" s="15">
        <f t="shared" si="6"/>
        <v>107.28832155155605</v>
      </c>
      <c r="Q32" s="15">
        <v>509</v>
      </c>
      <c r="R32" s="15">
        <f>Messdaten!AE32-Messdaten!C32</f>
        <v>88676.715049999999</v>
      </c>
      <c r="S32" s="15">
        <f t="shared" si="7"/>
        <v>0.86074135279012265</v>
      </c>
      <c r="U32" s="15">
        <v>509</v>
      </c>
      <c r="V32" s="15">
        <f>Messdaten!AH32-Messdaten!C32</f>
        <v>86432.318399999989</v>
      </c>
      <c r="W32" s="15">
        <f t="shared" si="8"/>
        <v>0.86766826966840493</v>
      </c>
      <c r="Y32" s="23">
        <f t="shared" si="9"/>
        <v>510</v>
      </c>
      <c r="Z32" s="15">
        <f t="shared" si="10"/>
        <v>3495035921959.4458</v>
      </c>
      <c r="AA32" s="15">
        <f t="shared" si="11"/>
        <v>3583294458405.9092</v>
      </c>
    </row>
    <row r="33" spans="1:27" x14ac:dyDescent="0.2">
      <c r="A33" s="15">
        <v>510</v>
      </c>
      <c r="B33" s="21">
        <f>Messdaten!Q33-Messdaten!C33</f>
        <v>105006.43877000001</v>
      </c>
      <c r="C33" s="15">
        <f>(B33-MIN(B:B))/(MAX(B:B)-MIN(B:B))</f>
        <v>0.87580905222658023</v>
      </c>
      <c r="D33" s="15">
        <f t="shared" si="0"/>
        <v>1.7604105079525464E-2</v>
      </c>
      <c r="E33" s="15">
        <v>430</v>
      </c>
      <c r="F33" s="21">
        <f>Messdaten!T33-Messdaten!I33</f>
        <v>14998.106529999999</v>
      </c>
      <c r="G33" s="15">
        <f t="shared" si="1"/>
        <v>5.0156423890108062E-2</v>
      </c>
      <c r="H33" s="15">
        <f t="shared" si="2"/>
        <v>4170.0057530408458</v>
      </c>
      <c r="I33" s="15">
        <v>650</v>
      </c>
      <c r="J33" s="21">
        <f>Messdaten!W33-Messdaten!F33</f>
        <v>84013.512920000008</v>
      </c>
      <c r="K33" s="15">
        <f t="shared" si="3"/>
        <v>0.61123050759154152</v>
      </c>
      <c r="L33" s="15">
        <f t="shared" si="4"/>
        <v>1.3052358271184972E-2</v>
      </c>
      <c r="M33" s="15">
        <v>430</v>
      </c>
      <c r="N33" s="21">
        <f>Messdaten!Z33-Messdaten!L33</f>
        <v>121.34132</v>
      </c>
      <c r="O33" s="15">
        <f t="shared" si="5"/>
        <v>6.0874282756876071E-4</v>
      </c>
      <c r="P33" s="15">
        <f t="shared" si="6"/>
        <v>44.109071266922129</v>
      </c>
      <c r="Q33" s="15">
        <v>510</v>
      </c>
      <c r="R33" s="15">
        <f>Messdaten!AE33-Messdaten!C33</f>
        <v>92961.649440000008</v>
      </c>
      <c r="S33" s="15">
        <f t="shared" si="7"/>
        <v>0.90226586241360651</v>
      </c>
      <c r="U33" s="15">
        <v>510</v>
      </c>
      <c r="V33" s="15">
        <f>Messdaten!AH33-Messdaten!C33</f>
        <v>89666.265119999996</v>
      </c>
      <c r="W33" s="15">
        <f t="shared" si="8"/>
        <v>0.89994682594157527</v>
      </c>
      <c r="Y33" s="24">
        <f t="shared" si="9"/>
        <v>511</v>
      </c>
      <c r="Z33" s="15">
        <f t="shared" si="10"/>
        <v>3671552994852.3721</v>
      </c>
      <c r="AA33" s="15">
        <f t="shared" si="11"/>
        <v>3888108865625.7266</v>
      </c>
    </row>
    <row r="34" spans="1:27" x14ac:dyDescent="0.2">
      <c r="A34" s="15">
        <v>511</v>
      </c>
      <c r="B34" s="21">
        <f>Messdaten!Q34-Messdaten!C34</f>
        <v>109061.60391000001</v>
      </c>
      <c r="C34" s="15">
        <f>(B34-MIN(B:B))/(MAX(B:B)-MIN(B:B))</f>
        <v>0.90937956204753001</v>
      </c>
      <c r="D34" s="15">
        <f t="shared" si="0"/>
        <v>1.828394485007279E-2</v>
      </c>
      <c r="E34" s="15">
        <v>431</v>
      </c>
      <c r="F34" s="21">
        <f>Messdaten!T34-Messdaten!I34</f>
        <v>16280.336069999999</v>
      </c>
      <c r="G34" s="15">
        <f t="shared" si="1"/>
        <v>5.5223374420451804E-2</v>
      </c>
      <c r="H34" s="15">
        <f t="shared" si="2"/>
        <v>4526.5110590822287</v>
      </c>
      <c r="I34" s="15">
        <v>651</v>
      </c>
      <c r="J34" s="21">
        <f>Messdaten!W34-Messdaten!F34</f>
        <v>90563.367559999999</v>
      </c>
      <c r="K34" s="15">
        <f t="shared" si="3"/>
        <v>0.65954882249617364</v>
      </c>
      <c r="L34" s="15">
        <f t="shared" si="4"/>
        <v>1.4069945161842312E-2</v>
      </c>
      <c r="M34" s="15">
        <v>431</v>
      </c>
      <c r="N34" s="21">
        <f>Messdaten!Z34-Messdaten!L34</f>
        <v>6.7425999999999249</v>
      </c>
      <c r="O34" s="15">
        <f t="shared" si="5"/>
        <v>4.4218266553303E-4</v>
      </c>
      <c r="P34" s="15">
        <f t="shared" si="6"/>
        <v>2.4510185312335961</v>
      </c>
      <c r="Q34" s="15">
        <v>511</v>
      </c>
      <c r="R34" s="15">
        <f>Messdaten!AE34-Messdaten!C34</f>
        <v>95956.289090000006</v>
      </c>
      <c r="S34" s="15">
        <f t="shared" si="7"/>
        <v>0.93128636346386673</v>
      </c>
      <c r="U34" s="15">
        <v>511</v>
      </c>
      <c r="V34" s="15">
        <f>Messdaten!AH34-Messdaten!C34</f>
        <v>92703.022620000003</v>
      </c>
      <c r="W34" s="15">
        <f t="shared" si="8"/>
        <v>0.9302572040456778</v>
      </c>
      <c r="Y34" s="23">
        <f t="shared" si="9"/>
        <v>512</v>
      </c>
      <c r="Z34" s="15">
        <f t="shared" si="10"/>
        <v>4104664736399.0811</v>
      </c>
      <c r="AA34" s="15">
        <f t="shared" si="11"/>
        <v>4163288993713.4448</v>
      </c>
    </row>
    <row r="35" spans="1:27" x14ac:dyDescent="0.2">
      <c r="A35" s="15">
        <v>512</v>
      </c>
      <c r="B35" s="21">
        <f>Messdaten!Q35-Messdaten!C35</f>
        <v>112523.43749</v>
      </c>
      <c r="C35" s="15">
        <f>(B35-MIN(B:B))/(MAX(B:B)-MIN(B:B))</f>
        <v>0.93803820212350075</v>
      </c>
      <c r="D35" s="15">
        <f t="shared" si="0"/>
        <v>1.8864313852431158E-2</v>
      </c>
      <c r="E35" s="15">
        <v>432</v>
      </c>
      <c r="F35" s="21">
        <f>Messdaten!T35-Messdaten!I35</f>
        <v>17199.119319999998</v>
      </c>
      <c r="G35" s="15">
        <f t="shared" si="1"/>
        <v>5.8854104434563348E-2</v>
      </c>
      <c r="H35" s="15">
        <f t="shared" si="2"/>
        <v>4781.9654013109575</v>
      </c>
      <c r="I35" s="15">
        <v>652</v>
      </c>
      <c r="J35" s="21">
        <f>Messdaten!W35-Messdaten!F35</f>
        <v>97054.063769999993</v>
      </c>
      <c r="K35" s="15">
        <f t="shared" si="3"/>
        <v>0.70743072532647566</v>
      </c>
      <c r="L35" s="15">
        <f t="shared" si="4"/>
        <v>1.5078341185503578E-2</v>
      </c>
      <c r="M35" s="15">
        <v>432</v>
      </c>
      <c r="N35" s="21">
        <f>Messdaten!Z35-Messdaten!L35</f>
        <v>-3.1619500000000471</v>
      </c>
      <c r="O35" s="15">
        <f t="shared" si="5"/>
        <v>4.2778718665777734E-4</v>
      </c>
      <c r="P35" s="15">
        <f t="shared" si="6"/>
        <v>-1.1494079501726739</v>
      </c>
      <c r="Q35" s="15">
        <v>512</v>
      </c>
      <c r="R35" s="15">
        <f>Messdaten!AE35-Messdaten!C35</f>
        <v>98582.538920000006</v>
      </c>
      <c r="S35" s="15">
        <f t="shared" si="7"/>
        <v>0.95673686664870261</v>
      </c>
      <c r="U35" s="15">
        <v>512</v>
      </c>
      <c r="V35" s="15">
        <f>Messdaten!AH35-Messdaten!C35</f>
        <v>95932.613299999997</v>
      </c>
      <c r="W35" s="15">
        <f t="shared" si="8"/>
        <v>0.9624922819642423</v>
      </c>
      <c r="Y35" s="24">
        <f t="shared" si="9"/>
        <v>513</v>
      </c>
      <c r="Z35" s="15">
        <f t="shared" si="10"/>
        <v>4221913251027.8086</v>
      </c>
      <c r="AA35" s="15">
        <f t="shared" si="11"/>
        <v>4461692664441.5527</v>
      </c>
    </row>
    <row r="36" spans="1:27" x14ac:dyDescent="0.2">
      <c r="A36" s="15">
        <v>513</v>
      </c>
      <c r="B36" s="21">
        <f>Messdaten!Q36-Messdaten!C36</f>
        <v>114880.61360000001</v>
      </c>
      <c r="C36" s="15">
        <f>(B36-MIN(B:B))/(MAX(B:B)-MIN(B:B))</f>
        <v>0.95755198294833388</v>
      </c>
      <c r="D36" s="15">
        <f t="shared" si="0"/>
        <v>1.9259489390402479E-2</v>
      </c>
      <c r="E36" s="15">
        <v>433</v>
      </c>
      <c r="F36" s="21">
        <f>Messdaten!T36-Messdaten!I36</f>
        <v>18225.42871</v>
      </c>
      <c r="G36" s="15">
        <f t="shared" si="1"/>
        <v>6.2909742481989134E-2</v>
      </c>
      <c r="H36" s="15">
        <f t="shared" si="2"/>
        <v>5067.3158255221306</v>
      </c>
      <c r="I36" s="15">
        <v>653</v>
      </c>
      <c r="J36" s="21">
        <f>Messdaten!W36-Messdaten!F36</f>
        <v>103143.36649</v>
      </c>
      <c r="K36" s="15">
        <f t="shared" si="3"/>
        <v>0.7523515460997735</v>
      </c>
      <c r="L36" s="15">
        <f t="shared" si="4"/>
        <v>1.6024376626240643E-2</v>
      </c>
      <c r="M36" s="15">
        <v>433</v>
      </c>
      <c r="N36" s="21">
        <f>Messdaten!Z36-Messdaten!L36</f>
        <v>315.30944999999997</v>
      </c>
      <c r="O36" s="15">
        <f t="shared" si="5"/>
        <v>8.9066014010565151E-4</v>
      </c>
      <c r="P36" s="15">
        <f t="shared" si="6"/>
        <v>114.6188866346931</v>
      </c>
      <c r="Q36" s="15">
        <v>513</v>
      </c>
      <c r="R36" s="15">
        <f>Messdaten!AE36-Messdaten!C36</f>
        <v>100497.76718000001</v>
      </c>
      <c r="S36" s="15">
        <f t="shared" si="7"/>
        <v>0.97529699081282972</v>
      </c>
      <c r="U36" s="15">
        <v>513</v>
      </c>
      <c r="V36" s="15">
        <f>Messdaten!AH36-Messdaten!C36</f>
        <v>97245.409390000001</v>
      </c>
      <c r="W36" s="15">
        <f t="shared" si="8"/>
        <v>0.97559551653647514</v>
      </c>
      <c r="Y36" s="23">
        <f t="shared" si="9"/>
        <v>514</v>
      </c>
      <c r="Z36" s="15">
        <f t="shared" si="10"/>
        <v>4701472077855.2979</v>
      </c>
      <c r="AA36" s="15">
        <f t="shared" si="11"/>
        <v>4855208457824.4766</v>
      </c>
    </row>
    <row r="37" spans="1:27" x14ac:dyDescent="0.2">
      <c r="A37" s="15">
        <v>514</v>
      </c>
      <c r="B37" s="21">
        <f>Messdaten!Q37-Messdaten!C37</f>
        <v>117120.63646000001</v>
      </c>
      <c r="C37" s="15">
        <f>(B37-MIN(B:B))/(MAX(B:B)-MIN(B:B))</f>
        <v>0.97609591564272036</v>
      </c>
      <c r="D37" s="15">
        <f t="shared" si="0"/>
        <v>1.9635024436347157E-2</v>
      </c>
      <c r="E37" s="15">
        <v>434</v>
      </c>
      <c r="F37" s="21">
        <f>Messdaten!T37-Messdaten!I37</f>
        <v>19191.600569999999</v>
      </c>
      <c r="G37" s="15">
        <f t="shared" si="1"/>
        <v>6.6727736737861754E-2</v>
      </c>
      <c r="H37" s="15">
        <f t="shared" si="2"/>
        <v>5335.9458826941654</v>
      </c>
      <c r="I37" s="15">
        <v>654</v>
      </c>
      <c r="J37" s="21">
        <f>Messdaten!W37-Messdaten!F37</f>
        <v>109101.93499000001</v>
      </c>
      <c r="K37" s="15">
        <f t="shared" si="3"/>
        <v>0.7963079397891184</v>
      </c>
      <c r="L37" s="15">
        <f t="shared" si="4"/>
        <v>1.6950101169141918E-2</v>
      </c>
      <c r="M37" s="15">
        <v>434</v>
      </c>
      <c r="N37" s="21">
        <f>Messdaten!Z37-Messdaten!L37</f>
        <v>-54.280669999999986</v>
      </c>
      <c r="O37" s="15">
        <f t="shared" si="5"/>
        <v>3.5349017630496426E-4</v>
      </c>
      <c r="P37" s="15">
        <f t="shared" si="6"/>
        <v>-19.731695200334737</v>
      </c>
      <c r="Q37" s="15">
        <v>514</v>
      </c>
      <c r="R37" s="15">
        <f>Messdaten!AE37-Messdaten!C37</f>
        <v>102183.47572</v>
      </c>
      <c r="S37" s="15">
        <f t="shared" si="7"/>
        <v>0.99163288166216856</v>
      </c>
      <c r="U37" s="15">
        <v>514</v>
      </c>
      <c r="V37" s="15">
        <f>Messdaten!AH37-Messdaten!C37</f>
        <v>98305.164910000007</v>
      </c>
      <c r="W37" s="15">
        <f t="shared" si="8"/>
        <v>0.98617311139187924</v>
      </c>
      <c r="Y37" s="24">
        <f t="shared" si="9"/>
        <v>515</v>
      </c>
      <c r="Z37" s="15">
        <f t="shared" si="10"/>
        <v>5008944837793.6563</v>
      </c>
      <c r="AA37" s="15">
        <f t="shared" si="11"/>
        <v>5260564983567.4951</v>
      </c>
    </row>
    <row r="38" spans="1:27" x14ac:dyDescent="0.2">
      <c r="A38" s="15">
        <v>515</v>
      </c>
      <c r="B38" s="21">
        <f>Messdaten!Q38-Messdaten!C38</f>
        <v>119164.38777</v>
      </c>
      <c r="C38" s="15">
        <f>(B38-MIN(B:B))/(MAX(B:B)-MIN(B:B))</f>
        <v>0.99301502277036091</v>
      </c>
      <c r="D38" s="15">
        <f t="shared" si="0"/>
        <v>1.9977654976332068E-2</v>
      </c>
      <c r="E38" s="15">
        <v>435</v>
      </c>
      <c r="F38" s="21">
        <f>Messdaten!T38-Messdaten!I38</f>
        <v>20170.12974</v>
      </c>
      <c r="G38" s="15">
        <f t="shared" si="1"/>
        <v>7.0594563029266907E-2</v>
      </c>
      <c r="H38" s="15">
        <f t="shared" si="2"/>
        <v>5608.0117104875817</v>
      </c>
      <c r="I38" s="15">
        <v>655</v>
      </c>
      <c r="J38" s="21">
        <f>Messdaten!W38-Messdaten!F38</f>
        <v>112973.67512</v>
      </c>
      <c r="K38" s="15">
        <f t="shared" si="3"/>
        <v>0.82486978873272199</v>
      </c>
      <c r="L38" s="15">
        <f t="shared" si="4"/>
        <v>1.7551615586921414E-2</v>
      </c>
      <c r="M38" s="15">
        <v>435</v>
      </c>
      <c r="N38" s="21">
        <f>Messdaten!Z38-Messdaten!L38</f>
        <v>174.39913999999999</v>
      </c>
      <c r="O38" s="15">
        <f t="shared" si="5"/>
        <v>6.8585816617343809E-4</v>
      </c>
      <c r="P38" s="15">
        <f t="shared" si="6"/>
        <v>63.396245361019062</v>
      </c>
      <c r="Q38" s="15">
        <v>515</v>
      </c>
      <c r="R38" s="15">
        <f>Messdaten!AE38-Messdaten!C38</f>
        <v>102627.83159999999</v>
      </c>
      <c r="S38" s="15">
        <f t="shared" si="7"/>
        <v>0.9959390526174049</v>
      </c>
      <c r="U38" s="15">
        <v>515</v>
      </c>
      <c r="V38" s="15">
        <f>Messdaten!AH38-Messdaten!C38</f>
        <v>99690.46295999999</v>
      </c>
      <c r="W38" s="15">
        <f t="shared" si="8"/>
        <v>1</v>
      </c>
      <c r="Y38" s="23">
        <f t="shared" si="9"/>
        <v>516</v>
      </c>
      <c r="Z38" s="15">
        <f t="shared" si="10"/>
        <v>5512185129341.334</v>
      </c>
      <c r="AA38" s="15">
        <f t="shared" si="11"/>
        <v>5506212741954.3457</v>
      </c>
    </row>
    <row r="39" spans="1:27" x14ac:dyDescent="0.2">
      <c r="A39" s="15">
        <v>516</v>
      </c>
      <c r="B39" s="21">
        <f>Messdaten!Q39-Messdaten!C39</f>
        <v>119536.26147</v>
      </c>
      <c r="C39" s="15">
        <f>(B39-MIN(B:B))/(MAX(B:B)-MIN(B:B))</f>
        <v>0.99609356316686937</v>
      </c>
      <c r="D39" s="15">
        <f t="shared" si="0"/>
        <v>2.003999880750847E-2</v>
      </c>
      <c r="E39" s="15">
        <v>436</v>
      </c>
      <c r="F39" s="21">
        <f>Messdaten!T39-Messdaten!I39</f>
        <v>21364.2019</v>
      </c>
      <c r="G39" s="15">
        <f t="shared" si="1"/>
        <v>7.5313144512252156E-2</v>
      </c>
      <c r="H39" s="15">
        <f t="shared" si="2"/>
        <v>5940.006137036431</v>
      </c>
      <c r="I39" s="15">
        <v>656</v>
      </c>
      <c r="J39" s="21">
        <f>Messdaten!W39-Messdaten!F39</f>
        <v>119827.16417999999</v>
      </c>
      <c r="K39" s="15">
        <f t="shared" si="3"/>
        <v>0.87542801647936574</v>
      </c>
      <c r="L39" s="15">
        <f t="shared" si="4"/>
        <v>1.8616375189390931E-2</v>
      </c>
      <c r="M39" s="15">
        <v>436</v>
      </c>
      <c r="N39" s="21">
        <f>Messdaten!Z39-Messdaten!L39</f>
        <v>225.42948999999999</v>
      </c>
      <c r="O39" s="15">
        <f t="shared" si="5"/>
        <v>7.600267377311313E-4</v>
      </c>
      <c r="P39" s="15">
        <f t="shared" si="6"/>
        <v>81.946409022713027</v>
      </c>
      <c r="Q39" s="15">
        <v>516</v>
      </c>
      <c r="R39" s="15">
        <f>Messdaten!AE39-Messdaten!C39</f>
        <v>103046.88274</v>
      </c>
      <c r="S39" s="15">
        <f t="shared" si="7"/>
        <v>1</v>
      </c>
      <c r="U39" s="15">
        <v>516</v>
      </c>
      <c r="V39" s="15">
        <f>Messdaten!AH39-Messdaten!C39</f>
        <v>99307.086490000002</v>
      </c>
      <c r="W39" s="15">
        <f t="shared" si="8"/>
        <v>0.99617345614132324</v>
      </c>
      <c r="Y39" s="24">
        <f t="shared" si="9"/>
        <v>517</v>
      </c>
      <c r="Z39" s="15">
        <f t="shared" si="10"/>
        <v>5500240354567.3564</v>
      </c>
      <c r="AA39" s="15">
        <f t="shared" si="11"/>
        <v>5579179302065.8457</v>
      </c>
    </row>
    <row r="40" spans="1:27" x14ac:dyDescent="0.2">
      <c r="A40" s="15">
        <v>517</v>
      </c>
      <c r="B40" s="21">
        <f>Messdaten!Q40-Messdaten!C40</f>
        <v>120008.1413</v>
      </c>
      <c r="C40" s="15">
        <f>(B40-MIN(B:B))/(MAX(B:B)-MIN(B:B))</f>
        <v>1</v>
      </c>
      <c r="D40" s="15">
        <f t="shared" si="0"/>
        <v>2.0119108452683884E-2</v>
      </c>
      <c r="E40" s="15">
        <v>437</v>
      </c>
      <c r="F40" s="21">
        <f>Messdaten!T40-Messdaten!I40</f>
        <v>23130.28629</v>
      </c>
      <c r="G40" s="15">
        <f t="shared" si="1"/>
        <v>8.2292130690142198E-2</v>
      </c>
      <c r="H40" s="15">
        <f t="shared" si="2"/>
        <v>6431.0402587053632</v>
      </c>
      <c r="I40" s="15">
        <v>657</v>
      </c>
      <c r="J40" s="21">
        <f>Messdaten!W40-Messdaten!F40</f>
        <v>123466.00649</v>
      </c>
      <c r="K40" s="15">
        <f t="shared" si="3"/>
        <v>0.90227177688118132</v>
      </c>
      <c r="L40" s="15">
        <f t="shared" si="4"/>
        <v>1.9181706549450745E-2</v>
      </c>
      <c r="M40" s="15">
        <v>437</v>
      </c>
      <c r="N40" s="21">
        <f>Messdaten!Z40-Messdaten!L40</f>
        <v>-34.356570000000033</v>
      </c>
      <c r="O40" s="15">
        <f t="shared" si="5"/>
        <v>3.8244827744619945E-4</v>
      </c>
      <c r="P40" s="15">
        <f t="shared" si="6"/>
        <v>-12.489038314541165</v>
      </c>
      <c r="Q40" s="15">
        <v>517</v>
      </c>
      <c r="R40" s="15">
        <f>Messdaten!AE40-Messdaten!C40</f>
        <v>102380.3566</v>
      </c>
      <c r="S40" s="15">
        <f t="shared" si="7"/>
        <v>0.99354081799261029</v>
      </c>
      <c r="U40" s="15">
        <v>517</v>
      </c>
      <c r="V40" s="15">
        <f>Messdaten!AH40-Messdaten!C40</f>
        <v>99198.413130000001</v>
      </c>
      <c r="W40" s="15">
        <f t="shared" si="8"/>
        <v>0.99508876938861301</v>
      </c>
      <c r="Y40" s="23">
        <f t="shared" si="9"/>
        <v>518</v>
      </c>
      <c r="Z40" s="15">
        <f t="shared" si="10"/>
        <v>5658118249564.335</v>
      </c>
      <c r="AA40" s="15">
        <f t="shared" si="11"/>
        <v>5820872268424.5156</v>
      </c>
    </row>
    <row r="41" spans="1:27" x14ac:dyDescent="0.2">
      <c r="A41" s="15">
        <v>518</v>
      </c>
      <c r="B41" s="21">
        <f>Messdaten!Q41-Messdaten!C41</f>
        <v>119178.17497000001</v>
      </c>
      <c r="C41" s="15">
        <f>(B41-MIN(B:B))/(MAX(B:B)-MIN(B:B))</f>
        <v>0.99312915951128877</v>
      </c>
      <c r="D41" s="15">
        <f t="shared" si="0"/>
        <v>1.9979966370951251E-2</v>
      </c>
      <c r="E41" s="15">
        <v>438</v>
      </c>
      <c r="F41" s="21">
        <f>Messdaten!T41-Messdaten!I41</f>
        <v>24440.308059999999</v>
      </c>
      <c r="G41" s="15">
        <f t="shared" si="1"/>
        <v>8.7468906996717805E-2</v>
      </c>
      <c r="H41" s="15">
        <f t="shared" si="2"/>
        <v>6795.272790764112</v>
      </c>
      <c r="I41" s="15">
        <v>658</v>
      </c>
      <c r="J41" s="21">
        <f>Messdaten!W41-Messdaten!F41</f>
        <v>126663.76123</v>
      </c>
      <c r="K41" s="15">
        <f t="shared" si="3"/>
        <v>0.9258616317722359</v>
      </c>
      <c r="L41" s="15">
        <f t="shared" si="4"/>
        <v>1.9678510445385964E-2</v>
      </c>
      <c r="M41" s="15">
        <v>438</v>
      </c>
      <c r="N41" s="21">
        <f>Messdaten!Z41-Messdaten!L41</f>
        <v>42.222690000000057</v>
      </c>
      <c r="O41" s="15">
        <f t="shared" si="5"/>
        <v>4.9375016593305478E-4</v>
      </c>
      <c r="P41" s="15">
        <f t="shared" si="6"/>
        <v>15.348470267928212</v>
      </c>
      <c r="Q41" s="15">
        <v>518</v>
      </c>
      <c r="R41" s="15">
        <f>Messdaten!AE41-Messdaten!C41</f>
        <v>101862.59016000001</v>
      </c>
      <c r="S41" s="15">
        <f t="shared" si="7"/>
        <v>0.98852323882718074</v>
      </c>
      <c r="U41" s="15">
        <v>518</v>
      </c>
      <c r="V41" s="15">
        <f>Messdaten!AH41-Messdaten!C41</f>
        <v>98313.968850000005</v>
      </c>
      <c r="W41" s="15">
        <f t="shared" si="8"/>
        <v>0.98626098497092063</v>
      </c>
      <c r="Y41" s="24">
        <f t="shared" si="9"/>
        <v>519</v>
      </c>
      <c r="Z41" s="15">
        <f t="shared" si="10"/>
        <v>5983626287284.6973</v>
      </c>
      <c r="AA41" s="15">
        <f t="shared" si="11"/>
        <v>6118448884705.6465</v>
      </c>
    </row>
    <row r="42" spans="1:27" x14ac:dyDescent="0.2">
      <c r="A42" s="15">
        <v>519</v>
      </c>
      <c r="B42" s="21">
        <f>Messdaten!Q42-Messdaten!C42</f>
        <v>118242.66228999999</v>
      </c>
      <c r="C42" s="15">
        <f>(B42-MIN(B:B))/(MAX(B:B)-MIN(B:B))</f>
        <v>0.98538455811348635</v>
      </c>
      <c r="D42" s="15">
        <f t="shared" si="0"/>
        <v>1.9823129669175075E-2</v>
      </c>
      <c r="E42" s="15">
        <v>439</v>
      </c>
      <c r="F42" s="21">
        <f>Messdaten!T42-Messdaten!I42</f>
        <v>25473.066010000002</v>
      </c>
      <c r="G42" s="15">
        <f t="shared" si="1"/>
        <v>9.1550027637932505E-2</v>
      </c>
      <c r="H42" s="15">
        <f t="shared" si="2"/>
        <v>7082.4161434522912</v>
      </c>
      <c r="I42" s="15">
        <v>659</v>
      </c>
      <c r="J42" s="21">
        <f>Messdaten!W42-Messdaten!F42</f>
        <v>129920.22049000001</v>
      </c>
      <c r="K42" s="15">
        <f t="shared" si="3"/>
        <v>0.94988455024097085</v>
      </c>
      <c r="L42" s="15">
        <f t="shared" si="4"/>
        <v>2.0184434688757528E-2</v>
      </c>
      <c r="M42" s="15">
        <v>439</v>
      </c>
      <c r="N42" s="21">
        <f>Messdaten!Z42-Messdaten!L42</f>
        <v>143.16877999999997</v>
      </c>
      <c r="O42" s="15">
        <f t="shared" si="5"/>
        <v>6.4046731170286288E-4</v>
      </c>
      <c r="P42" s="15">
        <f t="shared" si="6"/>
        <v>52.043623064412799</v>
      </c>
      <c r="Q42" s="15">
        <v>519</v>
      </c>
      <c r="R42" s="15">
        <f>Messdaten!AE42-Messdaten!C42</f>
        <v>100305.30206999999</v>
      </c>
      <c r="S42" s="15">
        <f t="shared" si="7"/>
        <v>0.97343184689579987</v>
      </c>
      <c r="U42" s="15">
        <v>519</v>
      </c>
      <c r="V42" s="15">
        <f>Messdaten!AH42-Messdaten!C42</f>
        <v>97011.566319999998</v>
      </c>
      <c r="W42" s="15">
        <f t="shared" si="8"/>
        <v>0.97326149023746233</v>
      </c>
      <c r="Y42" s="23">
        <f t="shared" si="9"/>
        <v>520</v>
      </c>
      <c r="Z42" s="15">
        <f t="shared" si="10"/>
        <v>6253271482126.5957</v>
      </c>
      <c r="AA42" s="15">
        <f t="shared" si="11"/>
        <v>6195643983626.168</v>
      </c>
    </row>
    <row r="43" spans="1:27" x14ac:dyDescent="0.2">
      <c r="A43" s="15">
        <v>520</v>
      </c>
      <c r="B43" s="21">
        <f>Messdaten!Q43-Messdaten!C43</f>
        <v>117561.80835000001</v>
      </c>
      <c r="C43" s="15">
        <f>(B43-MIN(B:B))/(MAX(B:B)-MIN(B:B))</f>
        <v>0.97974813811817096</v>
      </c>
      <c r="D43" s="15">
        <f t="shared" si="0"/>
        <v>1.9708985960999032E-2</v>
      </c>
      <c r="E43" s="15">
        <v>440</v>
      </c>
      <c r="F43" s="21">
        <f>Messdaten!T43-Messdaten!I43</f>
        <v>27580.11391</v>
      </c>
      <c r="G43" s="15">
        <f t="shared" si="1"/>
        <v>9.9876389760555767E-2</v>
      </c>
      <c r="H43" s="15">
        <f t="shared" si="2"/>
        <v>7668.2502183975248</v>
      </c>
      <c r="I43" s="15">
        <v>660</v>
      </c>
      <c r="J43" s="21">
        <f>Messdaten!W43-Messdaten!F43</f>
        <v>134687.93534</v>
      </c>
      <c r="K43" s="15">
        <f t="shared" si="3"/>
        <v>0.98505600978618468</v>
      </c>
      <c r="L43" s="15">
        <f t="shared" si="4"/>
        <v>2.0925147940640064E-2</v>
      </c>
      <c r="M43" s="15">
        <v>440</v>
      </c>
      <c r="N43" s="21">
        <f>Messdaten!Z43-Messdaten!L43</f>
        <v>87.577629999999999</v>
      </c>
      <c r="O43" s="15">
        <f t="shared" si="5"/>
        <v>5.5966997861089994E-4</v>
      </c>
      <c r="P43" s="15">
        <f t="shared" si="6"/>
        <v>31.835552168528718</v>
      </c>
      <c r="Q43" s="15">
        <v>520</v>
      </c>
      <c r="R43" s="15">
        <f>Messdaten!AE43-Messdaten!C43</f>
        <v>99305.015429999999</v>
      </c>
      <c r="S43" s="15">
        <f t="shared" si="7"/>
        <v>0.96373825338224273</v>
      </c>
      <c r="U43" s="15">
        <v>520</v>
      </c>
      <c r="V43" s="15">
        <f>Messdaten!AH43-Messdaten!C43</f>
        <v>95864.287500000006</v>
      </c>
      <c r="W43" s="15">
        <f t="shared" si="8"/>
        <v>0.96181031087097424</v>
      </c>
      <c r="Y43" s="24">
        <f t="shared" si="9"/>
        <v>521</v>
      </c>
      <c r="Z43" s="15">
        <f t="shared" si="10"/>
        <v>6138016485125.7393</v>
      </c>
      <c r="AA43" s="15">
        <f t="shared" si="11"/>
        <v>6428579794792.7285</v>
      </c>
    </row>
    <row r="44" spans="1:27" x14ac:dyDescent="0.2">
      <c r="A44" s="15">
        <v>521</v>
      </c>
      <c r="B44" s="21">
        <f>Messdaten!Q44-Messdaten!C44</f>
        <v>115404.97301</v>
      </c>
      <c r="C44" s="15">
        <f>(B44-MIN(B:B))/(MAX(B:B)-MIN(B:B))</f>
        <v>0.96189286972245724</v>
      </c>
      <c r="D44" s="15">
        <f t="shared" si="0"/>
        <v>1.934739712502527E-2</v>
      </c>
      <c r="E44" s="15">
        <v>441</v>
      </c>
      <c r="F44" s="21">
        <f>Messdaten!T44-Messdaten!I44</f>
        <v>29304.024120000002</v>
      </c>
      <c r="G44" s="15">
        <f t="shared" si="1"/>
        <v>0.10668871741354721</v>
      </c>
      <c r="H44" s="15">
        <f t="shared" si="2"/>
        <v>8147.5584216728266</v>
      </c>
      <c r="I44" s="15">
        <v>661</v>
      </c>
      <c r="J44" s="21">
        <f>Messdaten!W44-Messdaten!F44</f>
        <v>133966.31084999998</v>
      </c>
      <c r="K44" s="15">
        <f t="shared" si="3"/>
        <v>0.97973258182218403</v>
      </c>
      <c r="L44" s="15">
        <f t="shared" si="4"/>
        <v>2.0813036197500478E-2</v>
      </c>
      <c r="M44" s="15">
        <v>441</v>
      </c>
      <c r="N44" s="21">
        <f>Messdaten!Z44-Messdaten!L44</f>
        <v>176.86530999999997</v>
      </c>
      <c r="O44" s="15">
        <f t="shared" si="5"/>
        <v>6.8944254892053735E-4</v>
      </c>
      <c r="P44" s="15">
        <f t="shared" si="6"/>
        <v>64.292728671785298</v>
      </c>
      <c r="Q44" s="15">
        <v>521</v>
      </c>
      <c r="R44" s="15">
        <f>Messdaten!AE44-Messdaten!C44</f>
        <v>96576.025690000009</v>
      </c>
      <c r="S44" s="15">
        <f t="shared" si="7"/>
        <v>0.93729211666064449</v>
      </c>
      <c r="U44" s="15">
        <v>521</v>
      </c>
      <c r="V44" s="15">
        <f>Messdaten!AH44-Messdaten!C44</f>
        <v>93925.577710000012</v>
      </c>
      <c r="W44" s="15">
        <f t="shared" si="8"/>
        <v>0.94245972829431968</v>
      </c>
      <c r="Y44" s="23">
        <f t="shared" si="9"/>
        <v>522</v>
      </c>
      <c r="Z44" s="15">
        <f t="shared" si="10"/>
        <v>6719143104459.7168</v>
      </c>
      <c r="AA44" s="15">
        <f t="shared" si="11"/>
        <v>6875666870313.9648</v>
      </c>
    </row>
    <row r="45" spans="1:27" x14ac:dyDescent="0.2">
      <c r="A45" s="15">
        <v>522</v>
      </c>
      <c r="B45" s="21">
        <f>Messdaten!Q45-Messdaten!C45</f>
        <v>113433.41559</v>
      </c>
      <c r="C45" s="15">
        <f>(B45-MIN(B:B))/(MAX(B:B)-MIN(B:B))</f>
        <v>0.94557141660139488</v>
      </c>
      <c r="D45" s="15">
        <f t="shared" si="0"/>
        <v>1.9016869736433233E-2</v>
      </c>
      <c r="E45" s="15">
        <v>442</v>
      </c>
      <c r="F45" s="21">
        <f>Messdaten!T45-Messdaten!I45</f>
        <v>31669.08166</v>
      </c>
      <c r="G45" s="15">
        <f t="shared" si="1"/>
        <v>0.1160346489981498</v>
      </c>
      <c r="H45" s="15">
        <f t="shared" si="2"/>
        <v>8805.1283308040584</v>
      </c>
      <c r="I45" s="15">
        <v>662</v>
      </c>
      <c r="J45" s="21">
        <f>Messdaten!W45-Messdaten!F45</f>
        <v>136713.68818</v>
      </c>
      <c r="K45" s="15">
        <f t="shared" si="3"/>
        <v>1</v>
      </c>
      <c r="L45" s="15">
        <f t="shared" si="4"/>
        <v>2.1239869357678395E-2</v>
      </c>
      <c r="M45" s="15">
        <v>442</v>
      </c>
      <c r="N45" s="21">
        <f>Messdaten!Z45-Messdaten!L45</f>
        <v>23.506849999999986</v>
      </c>
      <c r="O45" s="15">
        <f t="shared" si="5"/>
        <v>4.6654817499428318E-4</v>
      </c>
      <c r="P45" s="15">
        <f t="shared" si="6"/>
        <v>8.5450308428394202</v>
      </c>
      <c r="Q45" s="15">
        <v>522</v>
      </c>
      <c r="R45" s="15">
        <f>Messdaten!AE45-Messdaten!C45</f>
        <v>94640.426420000003</v>
      </c>
      <c r="S45" s="15">
        <f t="shared" si="7"/>
        <v>0.91853458079220762</v>
      </c>
      <c r="U45" s="15">
        <v>522</v>
      </c>
      <c r="V45" s="15">
        <f>Messdaten!AH45-Messdaten!C45</f>
        <v>91771.757490000004</v>
      </c>
      <c r="W45" s="15">
        <f t="shared" si="8"/>
        <v>0.92096209299204046</v>
      </c>
      <c r="Y45" s="24">
        <f t="shared" si="9"/>
        <v>523</v>
      </c>
      <c r="Z45" s="15">
        <f t="shared" si="10"/>
        <v>7032190636168.2119</v>
      </c>
      <c r="AA45" s="15">
        <f t="shared" si="11"/>
        <v>7031392339912.3457</v>
      </c>
    </row>
    <row r="46" spans="1:27" x14ac:dyDescent="0.2">
      <c r="A46" s="15">
        <v>523</v>
      </c>
      <c r="B46" s="21">
        <f>Messdaten!Q46-Messdaten!C46</f>
        <v>111679.64473</v>
      </c>
      <c r="C46" s="15">
        <f>(B46-MIN(B:B))/(MAX(B:B)-MIN(B:B))</f>
        <v>0.93105290012999764</v>
      </c>
      <c r="D46" s="15">
        <f t="shared" si="0"/>
        <v>1.8722853799253668E-2</v>
      </c>
      <c r="E46" s="15">
        <v>443</v>
      </c>
      <c r="F46" s="21">
        <f>Messdaten!T46-Messdaten!I46</f>
        <v>33803.264380000001</v>
      </c>
      <c r="G46" s="15">
        <f t="shared" si="1"/>
        <v>0.12446823902833618</v>
      </c>
      <c r="H46" s="15">
        <f t="shared" si="2"/>
        <v>9398.5068484615367</v>
      </c>
      <c r="I46" s="15">
        <v>663</v>
      </c>
      <c r="J46" s="21">
        <f>Messdaten!W46-Messdaten!F46</f>
        <v>135814.39090999999</v>
      </c>
      <c r="K46" s="15">
        <f t="shared" si="3"/>
        <v>0.99336587892815642</v>
      </c>
      <c r="L46" s="15">
        <f t="shared" si="4"/>
        <v>2.1100154331459745E-2</v>
      </c>
      <c r="M46" s="15">
        <v>443</v>
      </c>
      <c r="N46" s="21">
        <f>Messdaten!Z46-Messdaten!L46</f>
        <v>536.22205999999994</v>
      </c>
      <c r="O46" s="15">
        <f t="shared" si="5"/>
        <v>1.2117391200221475E-3</v>
      </c>
      <c r="P46" s="15">
        <f t="shared" si="6"/>
        <v>194.92335388667101</v>
      </c>
      <c r="Q46" s="15">
        <v>523</v>
      </c>
      <c r="R46" s="15">
        <f>Messdaten!AE46-Messdaten!C46</f>
        <v>92502.804960000009</v>
      </c>
      <c r="S46" s="15">
        <f t="shared" si="7"/>
        <v>0.8978192851054666</v>
      </c>
      <c r="U46" s="15">
        <v>523</v>
      </c>
      <c r="V46" s="15">
        <f>Messdaten!AH46-Messdaten!C46</f>
        <v>89695.939339999997</v>
      </c>
      <c r="W46" s="15">
        <f t="shared" si="8"/>
        <v>0.90024300923185918</v>
      </c>
      <c r="Y46" s="23">
        <f t="shared" si="9"/>
        <v>524</v>
      </c>
      <c r="Z46" s="15">
        <f t="shared" si="10"/>
        <v>7030594043656.4805</v>
      </c>
      <c r="AA46" s="15">
        <f t="shared" si="11"/>
        <v>7303250093954.9688</v>
      </c>
    </row>
    <row r="47" spans="1:27" x14ac:dyDescent="0.2">
      <c r="A47" s="15">
        <v>524</v>
      </c>
      <c r="B47" s="21">
        <f>Messdaten!Q47-Messdaten!C47</f>
        <v>109506.29694999999</v>
      </c>
      <c r="C47" s="15">
        <f>(B47-MIN(B:B))/(MAX(B:B)-MIN(B:B))</f>
        <v>0.91306093421148271</v>
      </c>
      <c r="D47" s="15">
        <f t="shared" si="0"/>
        <v>1.8358496687998084E-2</v>
      </c>
      <c r="E47" s="15">
        <v>444</v>
      </c>
      <c r="F47" s="21">
        <f>Messdaten!T47-Messdaten!I47</f>
        <v>35036.801070000001</v>
      </c>
      <c r="G47" s="15">
        <f t="shared" si="1"/>
        <v>0.12934277138827072</v>
      </c>
      <c r="H47" s="15">
        <f t="shared" si="2"/>
        <v>9741.473814564757</v>
      </c>
      <c r="I47" s="15">
        <v>664</v>
      </c>
      <c r="J47" s="21">
        <f>Messdaten!W47-Messdaten!F47</f>
        <v>135389.79458999998</v>
      </c>
      <c r="K47" s="15">
        <f t="shared" si="3"/>
        <v>0.99023362946237159</v>
      </c>
      <c r="L47" s="15">
        <f t="shared" si="4"/>
        <v>2.1034188951645855E-2</v>
      </c>
      <c r="M47" s="15">
        <v>444</v>
      </c>
      <c r="N47" s="21">
        <f>Messdaten!Z47-Messdaten!L47</f>
        <v>501.04213000000004</v>
      </c>
      <c r="O47" s="15">
        <f t="shared" si="5"/>
        <v>1.1606078784061362E-3</v>
      </c>
      <c r="P47" s="15">
        <f t="shared" si="6"/>
        <v>182.13501402408068</v>
      </c>
      <c r="Q47" s="15">
        <v>524</v>
      </c>
      <c r="R47" s="15">
        <f>Messdaten!AE47-Messdaten!C47</f>
        <v>89887.721279999998</v>
      </c>
      <c r="S47" s="15">
        <f t="shared" si="7"/>
        <v>0.87247699102278498</v>
      </c>
      <c r="U47" s="15">
        <v>524</v>
      </c>
      <c r="V47" s="15">
        <f>Messdaten!AH47-Messdaten!C47</f>
        <v>87364.513189999998</v>
      </c>
      <c r="W47" s="15">
        <f t="shared" si="8"/>
        <v>0.87697265981202832</v>
      </c>
      <c r="Y47" s="24">
        <f t="shared" si="9"/>
        <v>525</v>
      </c>
      <c r="Z47" s="15">
        <f t="shared" si="10"/>
        <v>7575906144253.4561</v>
      </c>
      <c r="AA47" s="15">
        <f t="shared" si="11"/>
        <v>7629285804566.502</v>
      </c>
    </row>
    <row r="48" spans="1:27" x14ac:dyDescent="0.2">
      <c r="A48" s="15">
        <v>525</v>
      </c>
      <c r="B48" s="21">
        <f>Messdaten!Q48-Messdaten!C48</f>
        <v>106553.38430000001</v>
      </c>
      <c r="C48" s="15">
        <f>(B48-MIN(B:B))/(MAX(B:B)-MIN(B:B))</f>
        <v>0.88861537411840319</v>
      </c>
      <c r="D48" s="15">
        <f t="shared" si="0"/>
        <v>1.7863447192079829E-2</v>
      </c>
      <c r="E48" s="15">
        <v>445</v>
      </c>
      <c r="F48" s="21">
        <f>Messdaten!T48-Messdaten!I48</f>
        <v>38592.601629999997</v>
      </c>
      <c r="G48" s="15">
        <f t="shared" si="1"/>
        <v>0.14339412878664148</v>
      </c>
      <c r="H48" s="15">
        <f t="shared" si="2"/>
        <v>10730.112531205865</v>
      </c>
      <c r="I48" s="15">
        <v>665</v>
      </c>
      <c r="J48" s="21">
        <f>Messdaten!W48-Messdaten!F48</f>
        <v>134444.48355999999</v>
      </c>
      <c r="K48" s="15">
        <f t="shared" si="3"/>
        <v>0.98326006462149418</v>
      </c>
      <c r="L48" s="15">
        <f t="shared" si="4"/>
        <v>2.0887325217320025E-2</v>
      </c>
      <c r="M48" s="15">
        <v>445</v>
      </c>
      <c r="N48" s="21">
        <f>Messdaten!Z48-Messdaten!L48</f>
        <v>297.77845000000002</v>
      </c>
      <c r="O48" s="15">
        <f t="shared" si="5"/>
        <v>8.6518022025446658E-4</v>
      </c>
      <c r="P48" s="15">
        <f t="shared" si="6"/>
        <v>108.246151210516</v>
      </c>
      <c r="Q48" s="15">
        <v>525</v>
      </c>
      <c r="R48" s="15">
        <f>Messdaten!AE48-Messdaten!C48</f>
        <v>87365.909169999999</v>
      </c>
      <c r="S48" s="15">
        <f t="shared" si="7"/>
        <v>0.84803857453858</v>
      </c>
      <c r="U48" s="15">
        <v>525</v>
      </c>
      <c r="V48" s="15">
        <f>Messdaten!AH48-Messdaten!C48</f>
        <v>85330.764090000011</v>
      </c>
      <c r="W48" s="15">
        <f t="shared" si="8"/>
        <v>0.8566734741872698</v>
      </c>
      <c r="Y48" s="23">
        <f t="shared" si="9"/>
        <v>526</v>
      </c>
      <c r="Z48" s="15">
        <f t="shared" si="10"/>
        <v>7682665464879.5479</v>
      </c>
      <c r="AA48" s="15">
        <f t="shared" si="11"/>
        <v>7514530559193.2695</v>
      </c>
    </row>
    <row r="49" spans="1:27" x14ac:dyDescent="0.2">
      <c r="A49" s="15">
        <v>526</v>
      </c>
      <c r="B49" s="21">
        <f>Messdaten!Q49-Messdaten!C49</f>
        <v>104670.81941000001</v>
      </c>
      <c r="C49" s="15">
        <f>(B49-MIN(B:B))/(MAX(B:B)-MIN(B:B))</f>
        <v>0.87303064182108414</v>
      </c>
      <c r="D49" s="15">
        <f t="shared" si="0"/>
        <v>1.7547839210980926E-2</v>
      </c>
      <c r="E49" s="15">
        <v>446</v>
      </c>
      <c r="F49" s="21">
        <f>Messdaten!T49-Messdaten!I49</f>
        <v>40692.656710000003</v>
      </c>
      <c r="G49" s="15">
        <f t="shared" si="1"/>
        <v>0.15169285757849033</v>
      </c>
      <c r="H49" s="15">
        <f t="shared" si="2"/>
        <v>11314.002354083572</v>
      </c>
      <c r="I49" s="15">
        <v>666</v>
      </c>
      <c r="J49" s="21">
        <f>Messdaten!W49-Messdaten!F49</f>
        <v>134408.38001000002</v>
      </c>
      <c r="K49" s="15">
        <f t="shared" si="3"/>
        <v>0.98299372852795397</v>
      </c>
      <c r="L49" s="15">
        <f t="shared" si="4"/>
        <v>2.0881716161668347E-2</v>
      </c>
      <c r="M49" s="15">
        <v>446</v>
      </c>
      <c r="N49" s="21">
        <f>Messdaten!Z49-Messdaten!L49</f>
        <v>400.36831000000001</v>
      </c>
      <c r="O49" s="15">
        <f t="shared" si="5"/>
        <v>1.0142864555145368E-3</v>
      </c>
      <c r="P49" s="15">
        <f t="shared" si="6"/>
        <v>145.53883474159645</v>
      </c>
      <c r="Q49" s="15">
        <v>526</v>
      </c>
      <c r="R49" s="15">
        <f>Messdaten!AE49-Messdaten!C49</f>
        <v>85505.112280000001</v>
      </c>
      <c r="S49" s="15">
        <f t="shared" si="7"/>
        <v>0.83000593475149709</v>
      </c>
      <c r="U49" s="15">
        <v>526</v>
      </c>
      <c r="V49" s="15">
        <f>Messdaten!AH49-Messdaten!C49</f>
        <v>82414.039390000005</v>
      </c>
      <c r="W49" s="15">
        <f t="shared" si="8"/>
        <v>0.82756116328243967</v>
      </c>
      <c r="Y49" s="24">
        <f t="shared" si="9"/>
        <v>527</v>
      </c>
      <c r="Z49" s="15">
        <f t="shared" si="10"/>
        <v>7346395653506.9912</v>
      </c>
      <c r="AA49" s="15">
        <f t="shared" si="11"/>
        <v>7472829777937.2188</v>
      </c>
    </row>
    <row r="50" spans="1:27" x14ac:dyDescent="0.2">
      <c r="A50" s="15">
        <v>527</v>
      </c>
      <c r="B50" s="21">
        <f>Messdaten!Q50-Messdaten!C50</f>
        <v>101281.51041</v>
      </c>
      <c r="C50" s="15">
        <f>(B50-MIN(B:B))/(MAX(B:B)-MIN(B:B))</f>
        <v>0.84497239335460272</v>
      </c>
      <c r="D50" s="15">
        <f t="shared" si="0"/>
        <v>1.6979628799487306E-2</v>
      </c>
      <c r="E50" s="15">
        <v>447</v>
      </c>
      <c r="F50" s="21">
        <f>Messdaten!T50-Messdaten!I50</f>
        <v>43273.462550000004</v>
      </c>
      <c r="G50" s="15">
        <f t="shared" si="1"/>
        <v>0.16189135567244489</v>
      </c>
      <c r="H50" s="15">
        <f t="shared" si="2"/>
        <v>12031.557945434703</v>
      </c>
      <c r="I50" s="15">
        <v>667</v>
      </c>
      <c r="J50" s="21">
        <f>Messdaten!W50-Messdaten!F50</f>
        <v>132082.52970000001</v>
      </c>
      <c r="K50" s="15">
        <f t="shared" si="3"/>
        <v>0.96583591757237885</v>
      </c>
      <c r="L50" s="15">
        <f t="shared" si="4"/>
        <v>2.0520371534165693E-2</v>
      </c>
      <c r="M50" s="15">
        <v>447</v>
      </c>
      <c r="N50" s="21">
        <f>Messdaten!Z50-Messdaten!L50</f>
        <v>307.22753</v>
      </c>
      <c r="O50" s="15">
        <f t="shared" si="5"/>
        <v>8.7891370956297353E-4</v>
      </c>
      <c r="P50" s="15">
        <f t="shared" si="6"/>
        <v>111.68100871105123</v>
      </c>
      <c r="Q50" s="15">
        <v>527</v>
      </c>
      <c r="R50" s="15">
        <f>Messdaten!AE50-Messdaten!C50</f>
        <v>82827.059469999993</v>
      </c>
      <c r="S50" s="15">
        <f t="shared" si="7"/>
        <v>0.80405341843279499</v>
      </c>
      <c r="U50" s="15">
        <v>527</v>
      </c>
      <c r="V50" s="15">
        <f>Messdaten!AH50-Messdaten!C50</f>
        <v>80158.250749999992</v>
      </c>
      <c r="W50" s="15">
        <f t="shared" si="8"/>
        <v>0.80504576434085817</v>
      </c>
      <c r="Y50" s="23">
        <f t="shared" si="9"/>
        <v>528</v>
      </c>
      <c r="Z50" s="15">
        <f t="shared" si="10"/>
        <v>7599263902367.4463</v>
      </c>
      <c r="AA50" s="15">
        <f t="shared" si="11"/>
        <v>8104785639924.2363</v>
      </c>
    </row>
    <row r="51" spans="1:27" x14ac:dyDescent="0.2">
      <c r="A51" s="15">
        <v>528</v>
      </c>
      <c r="B51" s="21">
        <f>Messdaten!Q51-Messdaten!C51</f>
        <v>98790.692640000008</v>
      </c>
      <c r="C51" s="15">
        <f>(B51-MIN(B:B))/(MAX(B:B)-MIN(B:B))</f>
        <v>0.82435226580784127</v>
      </c>
      <c r="D51" s="15">
        <f t="shared" si="0"/>
        <v>1.6562048522785675E-2</v>
      </c>
      <c r="E51" s="15">
        <v>448</v>
      </c>
      <c r="F51" s="21">
        <f>Messdaten!T51-Messdaten!I51</f>
        <v>46550.032270000003</v>
      </c>
      <c r="G51" s="15">
        <f t="shared" si="1"/>
        <v>0.17483928438765936</v>
      </c>
      <c r="H51" s="15">
        <f t="shared" si="2"/>
        <v>12942.560581354735</v>
      </c>
      <c r="I51" s="15">
        <v>668</v>
      </c>
      <c r="J51" s="21">
        <f>Messdaten!W51-Messdaten!F51</f>
        <v>127974.18202000001</v>
      </c>
      <c r="K51" s="15">
        <f t="shared" si="3"/>
        <v>0.93552861338769311</v>
      </c>
      <c r="L51" s="15">
        <f t="shared" si="4"/>
        <v>1.9882097714178978E-2</v>
      </c>
      <c r="M51" s="15">
        <v>448</v>
      </c>
      <c r="N51" s="21">
        <f>Messdaten!Z51-Messdaten!L51</f>
        <v>519.52915000000007</v>
      </c>
      <c r="O51" s="15">
        <f t="shared" si="5"/>
        <v>1.1874772975999787E-3</v>
      </c>
      <c r="P51" s="15">
        <f t="shared" si="6"/>
        <v>188.85527454780842</v>
      </c>
      <c r="Q51" s="15">
        <v>528</v>
      </c>
      <c r="R51" s="15">
        <f>Messdaten!AE51-Messdaten!C51</f>
        <v>79530.491770000008</v>
      </c>
      <c r="S51" s="15">
        <f t="shared" si="7"/>
        <v>0.77210698828381075</v>
      </c>
      <c r="U51" s="15">
        <v>528</v>
      </c>
      <c r="V51" s="15">
        <f>Messdaten!AH51-Messdaten!C51</f>
        <v>77388.696299999996</v>
      </c>
      <c r="W51" s="15">
        <f t="shared" si="8"/>
        <v>0.77740238400528672</v>
      </c>
      <c r="Y51" s="24">
        <f t="shared" si="9"/>
        <v>529</v>
      </c>
      <c r="Z51" s="15">
        <f t="shared" si="10"/>
        <v>8610307377481.0254</v>
      </c>
      <c r="AA51" s="15">
        <f t="shared" si="11"/>
        <v>8391612640597.8867</v>
      </c>
    </row>
    <row r="52" spans="1:27" x14ac:dyDescent="0.2">
      <c r="A52" s="15">
        <v>529</v>
      </c>
      <c r="B52" s="21">
        <f>Messdaten!Q52-Messdaten!C52</f>
        <v>95677.069570000007</v>
      </c>
      <c r="C52" s="15">
        <f>(B52-MIN(B:B))/(MAX(B:B)-MIN(B:B))</f>
        <v>0.79857627142992271</v>
      </c>
      <c r="D52" s="15">
        <f t="shared" si="0"/>
        <v>1.6040056268364279E-2</v>
      </c>
      <c r="E52" s="15">
        <v>449</v>
      </c>
      <c r="F52" s="21">
        <f>Messdaten!T52-Messdaten!I52</f>
        <v>49428.342170000004</v>
      </c>
      <c r="G52" s="15">
        <f t="shared" si="1"/>
        <v>0.18621342093601762</v>
      </c>
      <c r="H52" s="15">
        <f t="shared" si="2"/>
        <v>13742.832856926738</v>
      </c>
      <c r="I52" s="15">
        <v>669</v>
      </c>
      <c r="J52" s="21">
        <f>Messdaten!W52-Messdaten!F52</f>
        <v>125650.18871</v>
      </c>
      <c r="K52" s="15">
        <f t="shared" si="3"/>
        <v>0.91838450153167195</v>
      </c>
      <c r="L52" s="15">
        <f t="shared" si="4"/>
        <v>1.9521041590614172E-2</v>
      </c>
      <c r="M52" s="15">
        <v>449</v>
      </c>
      <c r="N52" s="21">
        <f>Messdaten!Z52-Messdaten!L52</f>
        <v>375.18453</v>
      </c>
      <c r="O52" s="15">
        <f t="shared" si="5"/>
        <v>9.7768382611804617E-4</v>
      </c>
      <c r="P52" s="15">
        <f t="shared" si="6"/>
        <v>136.38421909384769</v>
      </c>
      <c r="Q52" s="15">
        <v>529</v>
      </c>
      <c r="R52" s="15">
        <f>Messdaten!AE52-Messdaten!C52</f>
        <v>77093.538629999995</v>
      </c>
      <c r="S52" s="15">
        <f t="shared" si="7"/>
        <v>0.74849092444160348</v>
      </c>
      <c r="U52" s="15">
        <v>529</v>
      </c>
      <c r="V52" s="15">
        <f>Messdaten!AH52-Messdaten!C52</f>
        <v>74328.888649999994</v>
      </c>
      <c r="W52" s="15">
        <f t="shared" si="8"/>
        <v>0.74686193854748339</v>
      </c>
      <c r="Y52" s="23">
        <f t="shared" si="9"/>
        <v>530</v>
      </c>
      <c r="Z52" s="15">
        <f t="shared" si="10"/>
        <v>8172917903714.7471</v>
      </c>
      <c r="AA52" s="15">
        <f t="shared" si="11"/>
        <v>8186003166726.6904</v>
      </c>
    </row>
    <row r="53" spans="1:27" x14ac:dyDescent="0.2">
      <c r="A53" s="15">
        <v>530</v>
      </c>
      <c r="B53" s="21">
        <f>Messdaten!Q53-Messdaten!C53</f>
        <v>93066.267920000013</v>
      </c>
      <c r="C53" s="15">
        <f>(B53-MIN(B:B))/(MAX(B:B)-MIN(B:B))</f>
        <v>0.77696286250426883</v>
      </c>
      <c r="D53" s="15">
        <f t="shared" si="0"/>
        <v>1.560236095056507E-2</v>
      </c>
      <c r="E53" s="15">
        <v>450</v>
      </c>
      <c r="F53" s="21">
        <f>Messdaten!T53-Messdaten!I53</f>
        <v>52148.430630000003</v>
      </c>
      <c r="G53" s="15">
        <f t="shared" si="1"/>
        <v>0.19696231825511923</v>
      </c>
      <c r="H53" s="15">
        <f t="shared" si="2"/>
        <v>14499.113958430557</v>
      </c>
      <c r="I53" s="15">
        <v>670</v>
      </c>
      <c r="J53" s="21">
        <f>Messdaten!W53-Messdaten!F53</f>
        <v>120792.77808999999</v>
      </c>
      <c r="K53" s="15">
        <f t="shared" si="3"/>
        <v>0.88255135578139232</v>
      </c>
      <c r="L53" s="15">
        <f t="shared" si="4"/>
        <v>1.8766393183721926E-2</v>
      </c>
      <c r="M53" s="15">
        <v>450</v>
      </c>
      <c r="N53" s="21">
        <f>Messdaten!Z53-Messdaten!L53</f>
        <v>69.758000000000038</v>
      </c>
      <c r="O53" s="15">
        <f t="shared" si="5"/>
        <v>5.3377055791739862E-4</v>
      </c>
      <c r="P53" s="15">
        <f t="shared" si="6"/>
        <v>25.35789616791671</v>
      </c>
      <c r="Q53" s="15">
        <v>530</v>
      </c>
      <c r="R53" s="15">
        <f>Messdaten!AE53-Messdaten!C53</f>
        <v>74429.930370000002</v>
      </c>
      <c r="S53" s="15">
        <f t="shared" si="7"/>
        <v>0.72267838759537162</v>
      </c>
      <c r="U53" s="15">
        <v>530</v>
      </c>
      <c r="V53" s="15">
        <f>Messdaten!AH53-Messdaten!C53</f>
        <v>72285.405370000008</v>
      </c>
      <c r="W53" s="15">
        <f t="shared" si="8"/>
        <v>0.72646559446462167</v>
      </c>
      <c r="Y53" s="24">
        <f t="shared" si="9"/>
        <v>531</v>
      </c>
      <c r="Z53" s="15">
        <f t="shared" si="10"/>
        <v>8199088429738.6338</v>
      </c>
      <c r="AA53" s="15">
        <f t="shared" si="11"/>
        <v>8199272824168.2744</v>
      </c>
    </row>
    <row r="54" spans="1:27" x14ac:dyDescent="0.2">
      <c r="A54" s="15">
        <v>531</v>
      </c>
      <c r="B54" s="21">
        <f>Messdaten!Q54-Messdaten!C54</f>
        <v>89326.41713999999</v>
      </c>
      <c r="C54" s="15">
        <f>(B54-MIN(B:B))/(MAX(B:B)-MIN(B:B))</f>
        <v>0.74600266902152512</v>
      </c>
      <c r="D54" s="15">
        <f t="shared" si="0"/>
        <v>1.4975382958700489E-2</v>
      </c>
      <c r="E54" s="15">
        <v>451</v>
      </c>
      <c r="F54" s="21">
        <f>Messdaten!T54-Messdaten!I54</f>
        <v>55137.550060000001</v>
      </c>
      <c r="G54" s="15">
        <f t="shared" si="1"/>
        <v>0.20877433771701628</v>
      </c>
      <c r="H54" s="15">
        <f t="shared" si="2"/>
        <v>15330.195214900745</v>
      </c>
      <c r="I54" s="15">
        <v>671</v>
      </c>
      <c r="J54" s="21">
        <f>Messdaten!W54-Messdaten!F54</f>
        <v>117787.55957</v>
      </c>
      <c r="K54" s="15">
        <f t="shared" si="3"/>
        <v>0.86038184167953546</v>
      </c>
      <c r="L54" s="15">
        <f t="shared" si="4"/>
        <v>1.8299501758248606E-2</v>
      </c>
      <c r="M54" s="15">
        <v>451</v>
      </c>
      <c r="N54" s="21">
        <f>Messdaten!Z54-Messdaten!L54</f>
        <v>512.80880999999999</v>
      </c>
      <c r="O54" s="15">
        <f t="shared" si="5"/>
        <v>1.1777098157351271E-3</v>
      </c>
      <c r="P54" s="15">
        <f t="shared" si="6"/>
        <v>186.41234780201444</v>
      </c>
      <c r="Q54" s="15">
        <v>531</v>
      </c>
      <c r="R54" s="15">
        <f>Messdaten!AE54-Messdaten!C54</f>
        <v>71959.351459999991</v>
      </c>
      <c r="S54" s="15">
        <f t="shared" si="7"/>
        <v>0.69873646261204148</v>
      </c>
      <c r="U54" s="15">
        <v>531</v>
      </c>
      <c r="V54" s="15">
        <f>Messdaten!AH54-Messdaten!C54</f>
        <v>69725.074559999994</v>
      </c>
      <c r="W54" s="15">
        <f t="shared" si="8"/>
        <v>0.70091050983152747</v>
      </c>
      <c r="Y54" s="23">
        <f t="shared" si="9"/>
        <v>532</v>
      </c>
      <c r="Z54" s="15">
        <f t="shared" si="10"/>
        <v>8199457218597.915</v>
      </c>
      <c r="AA54" s="15">
        <f t="shared" si="11"/>
        <v>8197095280024.1279</v>
      </c>
    </row>
    <row r="55" spans="1:27" x14ac:dyDescent="0.2">
      <c r="A55" s="15">
        <v>532</v>
      </c>
      <c r="B55" s="21">
        <f>Messdaten!Q55-Messdaten!C55</f>
        <v>86330.338109999997</v>
      </c>
      <c r="C55" s="15">
        <f>(B55-MIN(B:B))/(MAX(B:B)-MIN(B:B))</f>
        <v>0.72119975791222402</v>
      </c>
      <c r="D55" s="15">
        <f t="shared" si="0"/>
        <v>1.4473096711414182E-2</v>
      </c>
      <c r="E55" s="15">
        <v>452</v>
      </c>
      <c r="F55" s="21">
        <f>Messdaten!T55-Messdaten!I55</f>
        <v>58719.044159999998</v>
      </c>
      <c r="G55" s="15">
        <f t="shared" si="1"/>
        <v>0.22292722755717545</v>
      </c>
      <c r="H55" s="15">
        <f t="shared" si="2"/>
        <v>16325.977647277015</v>
      </c>
      <c r="I55" s="15">
        <v>672</v>
      </c>
      <c r="J55" s="21">
        <f>Messdaten!W55-Messdaten!F55</f>
        <v>113096.79577</v>
      </c>
      <c r="K55" s="15">
        <f t="shared" si="3"/>
        <v>0.82577805046751418</v>
      </c>
      <c r="L55" s="15">
        <f t="shared" si="4"/>
        <v>1.757074363880887E-2</v>
      </c>
      <c r="M55" s="15">
        <v>452</v>
      </c>
      <c r="N55" s="21">
        <f>Messdaten!Z55-Messdaten!L55</f>
        <v>322.22363000000001</v>
      </c>
      <c r="O55" s="15">
        <f t="shared" si="5"/>
        <v>9.0070935305623428E-4</v>
      </c>
      <c r="P55" s="15">
        <f t="shared" si="6"/>
        <v>117.13227661901443</v>
      </c>
      <c r="Q55" s="15">
        <v>532</v>
      </c>
      <c r="R55" s="15">
        <f>Messdaten!AE55-Messdaten!C55</f>
        <v>68946.845480000004</v>
      </c>
      <c r="S55" s="15">
        <f t="shared" si="7"/>
        <v>0.66954282224983475</v>
      </c>
      <c r="U55" s="15">
        <v>532</v>
      </c>
      <c r="V55" s="15">
        <f>Messdaten!AH55-Messdaten!C55</f>
        <v>66904.122730000003</v>
      </c>
      <c r="W55" s="15">
        <f t="shared" si="8"/>
        <v>0.67275412375830324</v>
      </c>
      <c r="Y55" s="24">
        <f t="shared" si="9"/>
        <v>533</v>
      </c>
      <c r="Z55" s="15">
        <f t="shared" si="10"/>
        <v>8194733341450.3408</v>
      </c>
      <c r="AA55" s="15">
        <f t="shared" si="11"/>
        <v>8503919683480.1875</v>
      </c>
    </row>
    <row r="56" spans="1:27" x14ac:dyDescent="0.2">
      <c r="A56" s="15">
        <v>533</v>
      </c>
      <c r="B56" s="21">
        <f>Messdaten!Q56-Messdaten!C56</f>
        <v>83350.14417</v>
      </c>
      <c r="C56" s="15">
        <f>(B56-MIN(B:B))/(MAX(B:B)-MIN(B:B))</f>
        <v>0.69652835083578979</v>
      </c>
      <c r="D56" s="15">
        <f t="shared" si="0"/>
        <v>1.3973473565522736E-2</v>
      </c>
      <c r="E56" s="15">
        <v>453</v>
      </c>
      <c r="F56" s="21">
        <f>Messdaten!T56-Messdaten!I56</f>
        <v>61667.188520000003</v>
      </c>
      <c r="G56" s="15">
        <f t="shared" si="1"/>
        <v>0.234577326983548</v>
      </c>
      <c r="H56" s="15">
        <f t="shared" si="2"/>
        <v>17145.666380478389</v>
      </c>
      <c r="I56" s="15">
        <v>673</v>
      </c>
      <c r="J56" s="21">
        <f>Messdaten!W56-Messdaten!F56</f>
        <v>107695.18304999999</v>
      </c>
      <c r="K56" s="15">
        <f t="shared" si="3"/>
        <v>0.78593032273262398</v>
      </c>
      <c r="L56" s="15">
        <f t="shared" si="4"/>
        <v>1.6731547871209368E-2</v>
      </c>
      <c r="M56" s="15">
        <v>453</v>
      </c>
      <c r="N56" s="21">
        <f>Messdaten!Z56-Messdaten!L56</f>
        <v>776.84628999999995</v>
      </c>
      <c r="O56" s="15">
        <f t="shared" si="5"/>
        <v>1.5614673782306414E-3</v>
      </c>
      <c r="P56" s="15">
        <f t="shared" si="6"/>
        <v>282.39323891526851</v>
      </c>
      <c r="Q56" s="15">
        <v>533</v>
      </c>
      <c r="R56" s="15">
        <f>Messdaten!AE56-Messdaten!C56</f>
        <v>66564.5481</v>
      </c>
      <c r="S56" s="15">
        <f t="shared" si="7"/>
        <v>0.64645641730681513</v>
      </c>
      <c r="U56" s="15">
        <v>533</v>
      </c>
      <c r="V56" s="15">
        <f>Messdaten!AH56-Messdaten!C56</f>
        <v>64602.962879999999</v>
      </c>
      <c r="W56" s="15">
        <f t="shared" si="8"/>
        <v>0.64978586727701371</v>
      </c>
      <c r="Y56" s="23">
        <f t="shared" si="9"/>
        <v>534</v>
      </c>
      <c r="Z56" s="15">
        <f t="shared" si="10"/>
        <v>8813106025510.0352</v>
      </c>
      <c r="AA56" s="15">
        <f t="shared" si="11"/>
        <v>8724504689229.0664</v>
      </c>
    </row>
    <row r="57" spans="1:27" x14ac:dyDescent="0.2">
      <c r="A57" s="15">
        <v>534</v>
      </c>
      <c r="B57" s="21">
        <f>Messdaten!Q57-Messdaten!C57</f>
        <v>80134.037960000001</v>
      </c>
      <c r="C57" s="15">
        <f>(B57-MIN(B:B))/(MAX(B:B)-MIN(B:B))</f>
        <v>0.66990395420073134</v>
      </c>
      <c r="D57" s="15">
        <f t="shared" si="0"/>
        <v>1.343430023166876E-2</v>
      </c>
      <c r="E57" s="15">
        <v>454</v>
      </c>
      <c r="F57" s="21">
        <f>Messdaten!T57-Messdaten!I57</f>
        <v>65568.925709999996</v>
      </c>
      <c r="G57" s="15">
        <f t="shared" si="1"/>
        <v>0.24999571246555174</v>
      </c>
      <c r="H57" s="15">
        <f t="shared" si="2"/>
        <v>18230.487754203717</v>
      </c>
      <c r="I57" s="15">
        <v>674</v>
      </c>
      <c r="J57" s="21">
        <f>Messdaten!W57-Messdaten!F57</f>
        <v>103411.09776999999</v>
      </c>
      <c r="K57" s="15">
        <f t="shared" si="3"/>
        <v>0.75432660127395368</v>
      </c>
      <c r="L57" s="15">
        <f t="shared" si="4"/>
        <v>1.6065971418143827E-2</v>
      </c>
      <c r="M57" s="15">
        <v>454</v>
      </c>
      <c r="N57" s="21">
        <f>Messdaten!Z57-Messdaten!L57</f>
        <v>626.19317000000001</v>
      </c>
      <c r="O57" s="15">
        <f t="shared" si="5"/>
        <v>1.3425050017015811E-3</v>
      </c>
      <c r="P57" s="15">
        <f t="shared" si="6"/>
        <v>227.62896565151826</v>
      </c>
      <c r="Q57" s="15">
        <v>534</v>
      </c>
      <c r="R57" s="15">
        <f>Messdaten!AE57-Messdaten!C57</f>
        <v>64146.556409999997</v>
      </c>
      <c r="S57" s="15">
        <f t="shared" si="7"/>
        <v>0.62302410538268571</v>
      </c>
      <c r="U57" s="15">
        <v>534</v>
      </c>
      <c r="V57" s="15">
        <f>Messdaten!AH57-Messdaten!C57</f>
        <v>62050.459019999995</v>
      </c>
      <c r="W57" s="15">
        <f t="shared" si="8"/>
        <v>0.6243089047244289</v>
      </c>
      <c r="Y57" s="24">
        <f t="shared" si="9"/>
        <v>535</v>
      </c>
      <c r="Z57" s="15">
        <f t="shared" si="10"/>
        <v>8635903352948.0977</v>
      </c>
      <c r="AA57" s="15">
        <f t="shared" si="11"/>
        <v>8854961313975.1797</v>
      </c>
    </row>
    <row r="58" spans="1:27" x14ac:dyDescent="0.2">
      <c r="A58" s="15">
        <v>535</v>
      </c>
      <c r="B58" s="21">
        <f>Messdaten!Q58-Messdaten!C58</f>
        <v>77244.585070000001</v>
      </c>
      <c r="C58" s="15">
        <f>(B58-MIN(B:B))/(MAX(B:B)-MIN(B:B))</f>
        <v>0.64598374299549377</v>
      </c>
      <c r="D58" s="15">
        <f t="shared" si="0"/>
        <v>1.2949889628912171E-2</v>
      </c>
      <c r="E58" s="15">
        <v>455</v>
      </c>
      <c r="F58" s="21">
        <f>Messdaten!T58-Messdaten!I58</f>
        <v>68170.613359999988</v>
      </c>
      <c r="G58" s="15">
        <f t="shared" si="1"/>
        <v>0.26027672862273388</v>
      </c>
      <c r="H58" s="15">
        <f t="shared" si="2"/>
        <v>18953.849229628264</v>
      </c>
      <c r="I58" s="15">
        <v>675</v>
      </c>
      <c r="J58" s="21">
        <f>Messdaten!W58-Messdaten!F58</f>
        <v>99863.757280000005</v>
      </c>
      <c r="K58" s="15">
        <f t="shared" si="3"/>
        <v>0.72815785031831848</v>
      </c>
      <c r="L58" s="15">
        <f t="shared" si="4"/>
        <v>1.5514855801428097E-2</v>
      </c>
      <c r="M58" s="15">
        <v>455</v>
      </c>
      <c r="N58" s="21">
        <f>Messdaten!Z58-Messdaten!L58</f>
        <v>541.84784999999999</v>
      </c>
      <c r="O58" s="15">
        <f t="shared" si="5"/>
        <v>1.2199157601624475E-3</v>
      </c>
      <c r="P58" s="15">
        <f t="shared" si="6"/>
        <v>196.96839816377909</v>
      </c>
      <c r="Q58" s="15">
        <v>535</v>
      </c>
      <c r="R58" s="15">
        <f>Messdaten!AE58-Messdaten!C58</f>
        <v>61670.049910000002</v>
      </c>
      <c r="S58" s="15">
        <f t="shared" si="7"/>
        <v>0.59902473721689453</v>
      </c>
      <c r="U58" s="15">
        <v>535</v>
      </c>
      <c r="V58" s="15">
        <f>Messdaten!AH58-Messdaten!C58</f>
        <v>59718.790119999998</v>
      </c>
      <c r="W58" s="15">
        <f t="shared" si="8"/>
        <v>0.60103613237675979</v>
      </c>
      <c r="Y58" s="23">
        <f t="shared" si="9"/>
        <v>536</v>
      </c>
      <c r="Z58" s="15">
        <f t="shared" si="10"/>
        <v>9074019275002.2617</v>
      </c>
      <c r="AA58" s="15">
        <f t="shared" si="11"/>
        <v>9288993592761.4727</v>
      </c>
    </row>
    <row r="59" spans="1:27" x14ac:dyDescent="0.2">
      <c r="A59" s="15">
        <v>536</v>
      </c>
      <c r="B59" s="21">
        <f>Messdaten!Q59-Messdaten!C59</f>
        <v>75439.75851</v>
      </c>
      <c r="C59" s="15">
        <f>(B59-MIN(B:B))/(MAX(B:B)-MIN(B:B))</f>
        <v>0.63104256411230997</v>
      </c>
      <c r="D59" s="15">
        <f t="shared" si="0"/>
        <v>1.2647314312724648E-2</v>
      </c>
      <c r="E59" s="15">
        <v>456</v>
      </c>
      <c r="F59" s="21">
        <f>Messdaten!T59-Messdaten!I59</f>
        <v>71802.044290000005</v>
      </c>
      <c r="G59" s="15">
        <f t="shared" si="1"/>
        <v>0.27462695243419766</v>
      </c>
      <c r="H59" s="15">
        <f t="shared" si="2"/>
        <v>19963.515872519518</v>
      </c>
      <c r="I59" s="15">
        <v>676</v>
      </c>
      <c r="J59" s="21">
        <f>Messdaten!W59-Messdaten!F59</f>
        <v>93770.263420000003</v>
      </c>
      <c r="K59" s="15">
        <f t="shared" si="3"/>
        <v>0.68320611148142074</v>
      </c>
      <c r="L59" s="15">
        <f t="shared" si="4"/>
        <v>1.4568169224237582E-2</v>
      </c>
      <c r="M59" s="15">
        <v>456</v>
      </c>
      <c r="N59" s="21">
        <f>Messdaten!Z59-Messdaten!L59</f>
        <v>518.89380000000006</v>
      </c>
      <c r="O59" s="15">
        <f t="shared" si="5"/>
        <v>1.1865538667017155E-3</v>
      </c>
      <c r="P59" s="15">
        <f t="shared" si="6"/>
        <v>188.6243169611476</v>
      </c>
      <c r="Q59" s="15">
        <v>536</v>
      </c>
      <c r="R59" s="15">
        <f>Messdaten!AE59-Messdaten!C59</f>
        <v>59391.545689999999</v>
      </c>
      <c r="S59" s="15">
        <f t="shared" si="7"/>
        <v>0.57694417266231368</v>
      </c>
      <c r="U59" s="15">
        <v>536</v>
      </c>
      <c r="V59" s="15">
        <f>Messdaten!AH59-Messdaten!C59</f>
        <v>57177.525010000005</v>
      </c>
      <c r="W59" s="15">
        <f t="shared" si="8"/>
        <v>0.57567134564391631</v>
      </c>
      <c r="Y59" s="24">
        <f t="shared" si="9"/>
        <v>537</v>
      </c>
      <c r="Z59" s="15">
        <f t="shared" si="10"/>
        <v>9503967910520.6816</v>
      </c>
      <c r="AA59" s="15">
        <f t="shared" si="11"/>
        <v>9550448141445.2949</v>
      </c>
    </row>
    <row r="60" spans="1:27" x14ac:dyDescent="0.2">
      <c r="A60" s="15">
        <v>537</v>
      </c>
      <c r="B60" s="21">
        <f>Messdaten!Q60-Messdaten!C60</f>
        <v>72472.20855000001</v>
      </c>
      <c r="C60" s="15">
        <f>(B60-MIN(B:B))/(MAX(B:B)-MIN(B:B))</f>
        <v>0.60647582967931002</v>
      </c>
      <c r="D60" s="15">
        <f t="shared" si="0"/>
        <v>1.2149810903062245E-2</v>
      </c>
      <c r="E60" s="15">
        <v>457</v>
      </c>
      <c r="F60" s="21">
        <f>Messdaten!T60-Messdaten!I60</f>
        <v>74897.316560000007</v>
      </c>
      <c r="G60" s="15">
        <f t="shared" si="1"/>
        <v>0.28685845309829466</v>
      </c>
      <c r="H60" s="15">
        <f t="shared" si="2"/>
        <v>20824.11138484702</v>
      </c>
      <c r="I60" s="15">
        <v>677</v>
      </c>
      <c r="J60" s="21">
        <f>Messdaten!W60-Messdaten!F60</f>
        <v>90479.735670000009</v>
      </c>
      <c r="K60" s="15">
        <f t="shared" si="3"/>
        <v>0.65893186956833139</v>
      </c>
      <c r="L60" s="15">
        <f t="shared" si="4"/>
        <v>1.405695209259385E-2</v>
      </c>
      <c r="M60" s="15">
        <v>457</v>
      </c>
      <c r="N60" s="21">
        <f>Messdaten!Z60-Messdaten!L60</f>
        <v>726.53769999999997</v>
      </c>
      <c r="O60" s="15">
        <f t="shared" si="5"/>
        <v>1.4883478276615852E-3</v>
      </c>
      <c r="P60" s="15">
        <f t="shared" si="6"/>
        <v>264.10544394445094</v>
      </c>
      <c r="Q60" s="15">
        <v>537</v>
      </c>
      <c r="R60" s="15">
        <f>Messdaten!AE60-Messdaten!C60</f>
        <v>57431.851199999997</v>
      </c>
      <c r="S60" s="15">
        <f t="shared" si="7"/>
        <v>0.55795313445668704</v>
      </c>
      <c r="U60" s="15">
        <v>537</v>
      </c>
      <c r="V60" s="15">
        <f>Messdaten!AH60-Messdaten!C60</f>
        <v>55459.434009999997</v>
      </c>
      <c r="W60" s="15">
        <f t="shared" si="8"/>
        <v>0.55852279564370855</v>
      </c>
      <c r="Y60" s="23">
        <f t="shared" si="9"/>
        <v>538</v>
      </c>
      <c r="Z60" s="15">
        <f t="shared" si="10"/>
        <v>9596928372369.9082</v>
      </c>
      <c r="AA60" s="15">
        <f t="shared" si="11"/>
        <v>9546049999141.9648</v>
      </c>
    </row>
    <row r="61" spans="1:27" x14ac:dyDescent="0.2">
      <c r="A61" s="15">
        <v>538</v>
      </c>
      <c r="B61" s="21">
        <f>Messdaten!Q61-Messdaten!C61</f>
        <v>70041.279769999994</v>
      </c>
      <c r="C61" s="15">
        <f>(B61-MIN(B:B))/(MAX(B:B)-MIN(B:B))</f>
        <v>0.58635149055485691</v>
      </c>
      <c r="D61" s="15">
        <f t="shared" si="0"/>
        <v>1.1742270887561889E-2</v>
      </c>
      <c r="E61" s="15">
        <v>458</v>
      </c>
      <c r="F61" s="21">
        <f>Messdaten!T61-Messdaten!I61</f>
        <v>78974.21067</v>
      </c>
      <c r="G61" s="15">
        <f t="shared" si="1"/>
        <v>0.30296900127114346</v>
      </c>
      <c r="H61" s="15">
        <f t="shared" si="2"/>
        <v>21957.632596956875</v>
      </c>
      <c r="I61" s="15">
        <v>678</v>
      </c>
      <c r="J61" s="21">
        <f>Messdaten!W61-Messdaten!F61</f>
        <v>85791.882709999991</v>
      </c>
      <c r="K61" s="15">
        <f t="shared" si="3"/>
        <v>0.62434955163953332</v>
      </c>
      <c r="L61" s="15">
        <f t="shared" si="4"/>
        <v>1.3328646201911482E-2</v>
      </c>
      <c r="M61" s="15">
        <v>458</v>
      </c>
      <c r="N61" s="21">
        <f>Messdaten!Z61-Messdaten!L61</f>
        <v>760.47296000000006</v>
      </c>
      <c r="O61" s="15">
        <f t="shared" si="5"/>
        <v>1.5376700400242071E-3</v>
      </c>
      <c r="P61" s="15">
        <f t="shared" si="6"/>
        <v>276.44133086080836</v>
      </c>
      <c r="Q61" s="15">
        <v>538</v>
      </c>
      <c r="R61" s="15">
        <f>Messdaten!AE61-Messdaten!C61</f>
        <v>55521.666949999999</v>
      </c>
      <c r="S61" s="15">
        <f t="shared" si="7"/>
        <v>0.53944189086405125</v>
      </c>
      <c r="U61" s="15">
        <v>538</v>
      </c>
      <c r="V61" s="15">
        <f>Messdaten!AH61-Messdaten!C61</f>
        <v>53749.055289999997</v>
      </c>
      <c r="W61" s="15">
        <f t="shared" si="8"/>
        <v>0.54145122318380334</v>
      </c>
      <c r="Y61" s="24">
        <f t="shared" si="9"/>
        <v>539</v>
      </c>
      <c r="Z61" s="15">
        <f t="shared" si="10"/>
        <v>9495171625914.0195</v>
      </c>
      <c r="AA61" s="15">
        <f t="shared" si="11"/>
        <v>9606578106430.3164</v>
      </c>
    </row>
    <row r="62" spans="1:27" x14ac:dyDescent="0.2">
      <c r="A62" s="15">
        <v>539</v>
      </c>
      <c r="B62" s="21">
        <f>Messdaten!Q62-Messdaten!C62</f>
        <v>67658.319950000005</v>
      </c>
      <c r="C62" s="15">
        <f>(B62-MIN(B:B))/(MAX(B:B)-MIN(B:B))</f>
        <v>0.56662426039814906</v>
      </c>
      <c r="D62" s="15">
        <f t="shared" si="0"/>
        <v>1.1342772765704319E-2</v>
      </c>
      <c r="E62" s="15">
        <v>459</v>
      </c>
      <c r="F62" s="21">
        <f>Messdaten!T62-Messdaten!I62</f>
        <v>82534.223559999999</v>
      </c>
      <c r="G62" s="15">
        <f t="shared" si="1"/>
        <v>0.31703700441589711</v>
      </c>
      <c r="H62" s="15">
        <f t="shared" si="2"/>
        <v>22947.442490792822</v>
      </c>
      <c r="I62" s="15">
        <v>679</v>
      </c>
      <c r="J62" s="21">
        <f>Messdaten!W62-Messdaten!F62</f>
        <v>79500.614100000006</v>
      </c>
      <c r="K62" s="15">
        <f t="shared" si="3"/>
        <v>0.57793882734785551</v>
      </c>
      <c r="L62" s="15">
        <f t="shared" si="4"/>
        <v>1.2351233295059549E-2</v>
      </c>
      <c r="M62" s="15">
        <v>459</v>
      </c>
      <c r="N62" s="21">
        <f>Messdaten!Z62-Messdaten!L62</f>
        <v>570.09836000000007</v>
      </c>
      <c r="O62" s="15">
        <f t="shared" si="5"/>
        <v>1.2609756386950527E-3</v>
      </c>
      <c r="P62" s="15">
        <f t="shared" si="6"/>
        <v>207.23780811347223</v>
      </c>
      <c r="Q62" s="15">
        <v>539</v>
      </c>
      <c r="R62" s="15">
        <f>Messdaten!AE62-Messdaten!C62</f>
        <v>53198.696210000002</v>
      </c>
      <c r="S62" s="15">
        <f t="shared" si="7"/>
        <v>0.51693040945763447</v>
      </c>
      <c r="U62" s="15">
        <v>539</v>
      </c>
      <c r="V62" s="15">
        <f>Messdaten!AH62-Messdaten!C62</f>
        <v>51486.57116</v>
      </c>
      <c r="W62" s="15">
        <f t="shared" si="8"/>
        <v>0.51886899545082454</v>
      </c>
      <c r="Y62" s="23">
        <f t="shared" si="9"/>
        <v>540</v>
      </c>
      <c r="Z62" s="15">
        <f t="shared" si="10"/>
        <v>9717984586946.6133</v>
      </c>
      <c r="AA62" s="15">
        <f t="shared" si="11"/>
        <v>9735421444845.8281</v>
      </c>
    </row>
    <row r="63" spans="1:27" x14ac:dyDescent="0.2">
      <c r="A63" s="15">
        <v>540</v>
      </c>
      <c r="B63" s="21">
        <f>Messdaten!Q63-Messdaten!C63</f>
        <v>65547.464439999996</v>
      </c>
      <c r="C63" s="15">
        <f>(B63-MIN(B:B))/(MAX(B:B)-MIN(B:B))</f>
        <v>0.54914963404321326</v>
      </c>
      <c r="D63" s="15">
        <f t="shared" si="0"/>
        <v>1.0988892349979261E-2</v>
      </c>
      <c r="E63" s="15">
        <v>460</v>
      </c>
      <c r="F63" s="21">
        <f>Messdaten!T63-Messdaten!I63</f>
        <v>85382.264490000001</v>
      </c>
      <c r="G63" s="15">
        <f t="shared" si="1"/>
        <v>0.32829152792399241</v>
      </c>
      <c r="H63" s="15">
        <f t="shared" si="2"/>
        <v>23739.29891875192</v>
      </c>
      <c r="I63" s="15">
        <v>680</v>
      </c>
      <c r="J63" s="21">
        <f>Messdaten!W63-Messdaten!F63</f>
        <v>76191.314159999994</v>
      </c>
      <c r="K63" s="15">
        <f t="shared" si="3"/>
        <v>0.55352610288244641</v>
      </c>
      <c r="L63" s="15">
        <f t="shared" si="4"/>
        <v>1.1837099711753471E-2</v>
      </c>
      <c r="M63" s="15">
        <v>460</v>
      </c>
      <c r="N63" s="21">
        <f>Messdaten!Z63-Messdaten!L63</f>
        <v>909.88615000000004</v>
      </c>
      <c r="O63" s="15">
        <f t="shared" si="5"/>
        <v>1.7548302765144175E-3</v>
      </c>
      <c r="P63" s="15">
        <f t="shared" si="6"/>
        <v>330.75487422697728</v>
      </c>
      <c r="Q63" s="15">
        <v>540</v>
      </c>
      <c r="R63" s="15">
        <f>Messdaten!AE63-Messdaten!C63</f>
        <v>51213.702819999999</v>
      </c>
      <c r="S63" s="15">
        <f t="shared" si="7"/>
        <v>0.49769420427373035</v>
      </c>
      <c r="U63" s="15">
        <v>540</v>
      </c>
      <c r="V63" s="15">
        <f>Messdaten!AH63-Messdaten!C63</f>
        <v>50208.476820000003</v>
      </c>
      <c r="W63" s="15">
        <f t="shared" si="8"/>
        <v>0.50611212477606271</v>
      </c>
      <c r="Y63" s="24">
        <f t="shared" si="9"/>
        <v>541</v>
      </c>
      <c r="Z63" s="15">
        <f t="shared" si="10"/>
        <v>9752858302745.0449</v>
      </c>
      <c r="AA63" s="15">
        <f t="shared" si="11"/>
        <v>9874871805215.2422</v>
      </c>
    </row>
    <row r="64" spans="1:27" x14ac:dyDescent="0.2">
      <c r="A64" s="15">
        <v>541</v>
      </c>
      <c r="B64" s="21">
        <f>Messdaten!Q64-Messdaten!C64</f>
        <v>63096.66418</v>
      </c>
      <c r="C64" s="15">
        <f>(B64-MIN(B:B))/(MAX(B:B)-MIN(B:B))</f>
        <v>0.52886078972810446</v>
      </c>
      <c r="D64" s="15">
        <f t="shared" si="0"/>
        <v>1.0578020923318762E-2</v>
      </c>
      <c r="E64" s="15">
        <v>461</v>
      </c>
      <c r="F64" s="21">
        <f>Messdaten!T64-Messdaten!I64</f>
        <v>88798.065360000008</v>
      </c>
      <c r="G64" s="15">
        <f t="shared" si="1"/>
        <v>0.34178965247179771</v>
      </c>
      <c r="H64" s="15">
        <f t="shared" si="2"/>
        <v>24689.012754338466</v>
      </c>
      <c r="I64" s="15">
        <v>681</v>
      </c>
      <c r="J64" s="21">
        <f>Messdaten!W64-Messdaten!F64</f>
        <v>72754.503660000002</v>
      </c>
      <c r="K64" s="15">
        <f t="shared" si="3"/>
        <v>0.52817273229122574</v>
      </c>
      <c r="L64" s="15">
        <f t="shared" si="4"/>
        <v>1.1303156059154563E-2</v>
      </c>
      <c r="M64" s="15">
        <v>461</v>
      </c>
      <c r="N64" s="21">
        <f>Messdaten!Z64-Messdaten!L64</f>
        <v>595.42875000000004</v>
      </c>
      <c r="O64" s="15">
        <f t="shared" si="5"/>
        <v>1.2977913541134122E-3</v>
      </c>
      <c r="P64" s="15">
        <f t="shared" si="6"/>
        <v>216.44571831033616</v>
      </c>
      <c r="Q64" s="15">
        <v>541</v>
      </c>
      <c r="R64" s="15">
        <f>Messdaten!AE64-Messdaten!C64</f>
        <v>50177.522519999999</v>
      </c>
      <c r="S64" s="15">
        <f t="shared" si="7"/>
        <v>0.48765277191494594</v>
      </c>
      <c r="U64" s="15">
        <v>541</v>
      </c>
      <c r="V64" s="15">
        <f>Messdaten!AH64-Messdaten!C64</f>
        <v>48246.83754</v>
      </c>
      <c r="W64" s="15">
        <f t="shared" si="8"/>
        <v>0.48653267917309329</v>
      </c>
      <c r="Y64" s="23">
        <f t="shared" si="9"/>
        <v>542</v>
      </c>
      <c r="Z64" s="15">
        <f t="shared" si="10"/>
        <v>9996885307685.4395</v>
      </c>
      <c r="AA64" s="15">
        <f t="shared" si="11"/>
        <v>10063493132983.441</v>
      </c>
    </row>
    <row r="65" spans="1:27" x14ac:dyDescent="0.2">
      <c r="A65" s="15">
        <v>542</v>
      </c>
      <c r="B65" s="21">
        <f>Messdaten!Q65-Messdaten!C65</f>
        <v>61003.23184</v>
      </c>
      <c r="C65" s="15">
        <f>(B65-MIN(B:B))/(MAX(B:B)-MIN(B:B))</f>
        <v>0.51153040033501951</v>
      </c>
      <c r="D65" s="15">
        <f t="shared" si="0"/>
        <v>1.0227061464813959E-2</v>
      </c>
      <c r="E65" s="15">
        <v>462</v>
      </c>
      <c r="F65" s="21">
        <f>Messdaten!T65-Messdaten!I65</f>
        <v>91807.266490000009</v>
      </c>
      <c r="G65" s="15">
        <f t="shared" si="1"/>
        <v>0.35368102822466368</v>
      </c>
      <c r="H65" s="15">
        <f t="shared" si="2"/>
        <v>25525.677435913913</v>
      </c>
      <c r="I65" s="15">
        <v>682</v>
      </c>
      <c r="J65" s="21">
        <f>Messdaten!W65-Messdaten!F65</f>
        <v>68434.532340000005</v>
      </c>
      <c r="K65" s="15">
        <f t="shared" si="3"/>
        <v>0.49630427931152127</v>
      </c>
      <c r="L65" s="15">
        <f t="shared" si="4"/>
        <v>1.063200434283988E-2</v>
      </c>
      <c r="M65" s="15">
        <v>462</v>
      </c>
      <c r="N65" s="21">
        <f>Messdaten!Z65-Messdaten!L65</f>
        <v>1009.1842599999999</v>
      </c>
      <c r="O65" s="15">
        <f t="shared" si="5"/>
        <v>1.8991522138924418E-3</v>
      </c>
      <c r="P65" s="15">
        <f t="shared" si="6"/>
        <v>366.8509659017725</v>
      </c>
      <c r="Q65" s="15">
        <v>542</v>
      </c>
      <c r="R65" s="15">
        <f>Messdaten!AE65-Messdaten!C65</f>
        <v>48361.937020000005</v>
      </c>
      <c r="S65" s="15">
        <f t="shared" si="7"/>
        <v>0.47005826737761802</v>
      </c>
      <c r="U65" s="15">
        <v>542</v>
      </c>
      <c r="V65" s="15">
        <f>Messdaten!AH65-Messdaten!C65</f>
        <v>46778.607380000001</v>
      </c>
      <c r="W65" s="15">
        <f t="shared" si="8"/>
        <v>0.47187803147947704</v>
      </c>
      <c r="Y65" s="24">
        <f t="shared" si="9"/>
        <v>543</v>
      </c>
      <c r="Z65" s="15">
        <f t="shared" si="10"/>
        <v>10130100958281.441</v>
      </c>
      <c r="AA65" s="15">
        <f t="shared" si="11"/>
        <v>10173770094606.211</v>
      </c>
    </row>
    <row r="66" spans="1:27" x14ac:dyDescent="0.2">
      <c r="A66" s="15">
        <v>543</v>
      </c>
      <c r="B66" s="21">
        <f>Messdaten!Q66-Messdaten!C66</f>
        <v>59212.216099999998</v>
      </c>
      <c r="C66" s="15">
        <f>(B66-MIN(B:B))/(MAX(B:B)-MIN(B:B))</f>
        <v>0.49670355372991531</v>
      </c>
      <c r="D66" s="15">
        <f t="shared" si="0"/>
        <v>9.9268015030881465E-3</v>
      </c>
      <c r="E66" s="15">
        <v>463</v>
      </c>
      <c r="F66" s="21">
        <f>Messdaten!T66-Messdaten!I66</f>
        <v>94192.756079999992</v>
      </c>
      <c r="G66" s="15">
        <f t="shared" si="1"/>
        <v>0.36310770056850933</v>
      </c>
      <c r="H66" s="15">
        <f t="shared" si="2"/>
        <v>26188.928179880921</v>
      </c>
      <c r="I66" s="15">
        <v>683</v>
      </c>
      <c r="J66" s="21">
        <f>Messdaten!W66-Messdaten!F66</f>
        <v>65149.281510000001</v>
      </c>
      <c r="K66" s="15">
        <f t="shared" si="3"/>
        <v>0.47206896526726266</v>
      </c>
      <c r="L66" s="15">
        <f t="shared" si="4"/>
        <v>1.0121607034674709E-2</v>
      </c>
      <c r="M66" s="15">
        <v>463</v>
      </c>
      <c r="N66" s="21">
        <f>Messdaten!Z66-Messdaten!L66</f>
        <v>771.24183000000005</v>
      </c>
      <c r="O66" s="15">
        <f t="shared" si="5"/>
        <v>1.5533217395557702E-3</v>
      </c>
      <c r="P66" s="15">
        <f t="shared" si="6"/>
        <v>280.35594835709253</v>
      </c>
      <c r="Q66" s="15">
        <v>543</v>
      </c>
      <c r="R66" s="15">
        <f>Messdaten!AE66-Messdaten!C66</f>
        <v>46506.312959999996</v>
      </c>
      <c r="S66" s="15">
        <f t="shared" si="7"/>
        <v>0.45207575653290971</v>
      </c>
      <c r="U66" s="15">
        <v>543</v>
      </c>
      <c r="V66" s="15">
        <f>Messdaten!AH66-Messdaten!C66</f>
        <v>45107.628359999995</v>
      </c>
      <c r="W66" s="15">
        <f t="shared" si="8"/>
        <v>0.45519971393182213</v>
      </c>
      <c r="Y66" s="23">
        <f t="shared" si="9"/>
        <v>544</v>
      </c>
      <c r="Z66" s="15">
        <f t="shared" si="10"/>
        <v>10217439230930.982</v>
      </c>
      <c r="AA66" s="15">
        <f t="shared" si="11"/>
        <v>10236744974185.43</v>
      </c>
    </row>
    <row r="67" spans="1:27" x14ac:dyDescent="0.2">
      <c r="A67" s="15">
        <v>544</v>
      </c>
      <c r="B67" s="21">
        <f>Messdaten!Q67-Messdaten!C67</f>
        <v>57393.303339999999</v>
      </c>
      <c r="C67" s="15">
        <f>(B67-MIN(B:B))/(MAX(B:B)-MIN(B:B))</f>
        <v>0.48164576284719163</v>
      </c>
      <c r="D67" s="15">
        <f t="shared" si="0"/>
        <v>9.6218646655703531E-3</v>
      </c>
      <c r="E67" s="15">
        <v>464</v>
      </c>
      <c r="F67" s="21">
        <f>Messdaten!T67-Messdaten!I67</f>
        <v>98056.355660000001</v>
      </c>
      <c r="G67" s="15">
        <f t="shared" si="1"/>
        <v>0.37837537872613225</v>
      </c>
      <c r="H67" s="15">
        <f t="shared" si="2"/>
        <v>27263.145944891436</v>
      </c>
      <c r="I67" s="15">
        <v>684</v>
      </c>
      <c r="J67" s="21">
        <f>Messdaten!W67-Messdaten!F67</f>
        <v>62048.752700000005</v>
      </c>
      <c r="K67" s="15">
        <f t="shared" si="3"/>
        <v>0.44919634661439062</v>
      </c>
      <c r="L67" s="15">
        <f t="shared" si="4"/>
        <v>9.6399081811011575E-3</v>
      </c>
      <c r="M67" s="15">
        <v>464</v>
      </c>
      <c r="N67" s="21">
        <f>Messdaten!Z67-Messdaten!L67</f>
        <v>1061.86807</v>
      </c>
      <c r="O67" s="15">
        <f t="shared" si="5"/>
        <v>1.9757239585878423E-3</v>
      </c>
      <c r="P67" s="15">
        <f t="shared" si="6"/>
        <v>386.00218273296394</v>
      </c>
      <c r="Q67" s="15">
        <v>544</v>
      </c>
      <c r="R67" s="15">
        <f>Messdaten!AE67-Messdaten!C67</f>
        <v>44942.421900000001</v>
      </c>
      <c r="S67" s="15">
        <f t="shared" si="7"/>
        <v>0.43692037643593462</v>
      </c>
      <c r="U67" s="15">
        <v>544</v>
      </c>
      <c r="V67" s="15">
        <f>Messdaten!AH67-Messdaten!C67</f>
        <v>43857.94571</v>
      </c>
      <c r="W67" s="15">
        <f t="shared" si="8"/>
        <v>0.44272642502691728</v>
      </c>
      <c r="Y67" s="24">
        <f t="shared" si="9"/>
        <v>545</v>
      </c>
      <c r="Z67" s="15">
        <f t="shared" si="10"/>
        <v>10256050717439.879</v>
      </c>
      <c r="AA67" s="15">
        <f t="shared" si="11"/>
        <v>10451481735650.102</v>
      </c>
    </row>
    <row r="68" spans="1:27" x14ac:dyDescent="0.2">
      <c r="A68" s="15">
        <v>545</v>
      </c>
      <c r="B68" s="21">
        <f>Messdaten!Q68-Messdaten!C68</f>
        <v>55053.420639999997</v>
      </c>
      <c r="C68" s="15">
        <f>(B68-MIN(B:B))/(MAX(B:B)-MIN(B:B))</f>
        <v>0.4622751447716425</v>
      </c>
      <c r="D68" s="15">
        <f t="shared" ref="D68:D131" si="12">B68/SUM(B:B)</f>
        <v>9.2295883308325631E-3</v>
      </c>
      <c r="E68" s="15">
        <v>465</v>
      </c>
      <c r="F68" s="21">
        <f>Messdaten!T68-Messdaten!I68</f>
        <v>101775.85055999999</v>
      </c>
      <c r="G68" s="15">
        <f>(F68-MIN(F:F))/(MAX(F:F)-MIN(F:F))</f>
        <v>0.39307360245927586</v>
      </c>
      <c r="H68" s="15">
        <f t="shared" ref="H68:H131" si="13">F68/MAX(F:F)*71000</f>
        <v>28297.297495981005</v>
      </c>
      <c r="I68" s="15">
        <v>685</v>
      </c>
      <c r="J68" s="21">
        <f>Messdaten!W68-Messdaten!F68</f>
        <v>58373.149619999997</v>
      </c>
      <c r="K68" s="15">
        <f t="shared" ref="K68:K131" si="14">(J68-MIN(J:J))/(MAX(J:J)-MIN(J:J))</f>
        <v>0.42208140180335946</v>
      </c>
      <c r="L68" s="15">
        <f t="shared" ref="L68:L131" si="15">J68/SUM(J:J)</f>
        <v>9.0688656595425791E-3</v>
      </c>
      <c r="M68" s="15">
        <v>465</v>
      </c>
      <c r="N68" s="21">
        <f>Messdaten!Z68-Messdaten!L68</f>
        <v>946.21877000000006</v>
      </c>
      <c r="O68" s="15">
        <f t="shared" ref="O68:O131" si="16">(N68-MIN(N:N))/(MAX(N:N)-MIN(N:N))</f>
        <v>1.8076368617396508E-3</v>
      </c>
      <c r="P68" s="15">
        <f t="shared" ref="P68:P131" si="17">N68/MAX(N:N)*250000</f>
        <v>343.96223116766328</v>
      </c>
      <c r="Q68" s="15">
        <v>545</v>
      </c>
      <c r="R68" s="15">
        <f>Messdaten!AE68-Messdaten!C68</f>
        <v>43708.32531</v>
      </c>
      <c r="S68" s="15">
        <f t="shared" ref="S68:S131" si="18">(R68-MIN(R:R))/(MAX(R:R)-MIN(R:R))</f>
        <v>0.42496097377918507</v>
      </c>
      <c r="U68" s="15">
        <v>545</v>
      </c>
      <c r="V68" s="15">
        <f>Messdaten!AH68-Messdaten!C68</f>
        <v>42783.66001</v>
      </c>
      <c r="W68" s="15">
        <f t="shared" ref="W68:W131" si="19">(V68-MIN(V:V))/(MAX(V:V)-MIN(V:V))</f>
        <v>0.43200380204538835</v>
      </c>
      <c r="Y68" s="23">
        <f t="shared" ref="Y68:Y131" si="20">A69</f>
        <v>546</v>
      </c>
      <c r="Z68" s="15">
        <f t="shared" ref="Z68:Z131" si="21">D69*P149*Y68^4</f>
        <v>10646912753860.324</v>
      </c>
      <c r="AA68" s="15">
        <f t="shared" ref="AA68:AA131" si="22">(Z68+Z69)/2*(Y69-Y68)</f>
        <v>10607797421718.082</v>
      </c>
    </row>
    <row r="69" spans="1:27" x14ac:dyDescent="0.2">
      <c r="A69" s="15">
        <v>546</v>
      </c>
      <c r="B69" s="21">
        <f>Messdaten!Q69-Messdaten!C69</f>
        <v>53916.017359999998</v>
      </c>
      <c r="C69" s="15">
        <f>(B69-MIN(B:B))/(MAX(B:B)-MIN(B:B))</f>
        <v>0.45285920074386848</v>
      </c>
      <c r="D69" s="15">
        <f t="shared" si="12"/>
        <v>9.0389051013710434E-3</v>
      </c>
      <c r="E69" s="15">
        <v>466</v>
      </c>
      <c r="F69" s="21">
        <f>Messdaten!T69-Messdaten!I69</f>
        <v>106488.32939</v>
      </c>
      <c r="G69" s="15">
        <f>(F69-MIN(F:F))/(MAX(F:F)-MIN(F:F))</f>
        <v>0.41169577295372739</v>
      </c>
      <c r="H69" s="15">
        <f t="shared" si="13"/>
        <v>29607.533811003577</v>
      </c>
      <c r="I69" s="15">
        <v>686</v>
      </c>
      <c r="J69" s="21">
        <f>Messdaten!W69-Messdaten!F69</f>
        <v>56554.001730000004</v>
      </c>
      <c r="K69" s="15">
        <f t="shared" si="14"/>
        <v>0.40866153747990985</v>
      </c>
      <c r="L69" s="15">
        <f t="shared" si="15"/>
        <v>8.7862424340245607E-3</v>
      </c>
      <c r="M69" s="15">
        <v>466</v>
      </c>
      <c r="N69" s="21">
        <f>Messdaten!Z69-Messdaten!L69</f>
        <v>1148.5803100000001</v>
      </c>
      <c r="O69" s="15">
        <f t="shared" si="16"/>
        <v>2.1017533308607715E-3</v>
      </c>
      <c r="P69" s="15">
        <f t="shared" si="17"/>
        <v>417.52315492837488</v>
      </c>
      <c r="Q69" s="15">
        <v>546</v>
      </c>
      <c r="R69" s="15">
        <f>Messdaten!AE69-Messdaten!C69</f>
        <v>42091.016799999998</v>
      </c>
      <c r="S69" s="15">
        <f t="shared" si="18"/>
        <v>0.40928793501705896</v>
      </c>
      <c r="U69" s="15">
        <v>546</v>
      </c>
      <c r="V69" s="15">
        <f>Messdaten!AH69-Messdaten!C69</f>
        <v>40886.28458</v>
      </c>
      <c r="W69" s="15">
        <f t="shared" si="19"/>
        <v>0.41306578454193804</v>
      </c>
      <c r="Y69" s="24">
        <f t="shared" si="20"/>
        <v>547</v>
      </c>
      <c r="Z69" s="15">
        <f t="shared" si="21"/>
        <v>10568682089575.838</v>
      </c>
      <c r="AA69" s="15">
        <f t="shared" si="22"/>
        <v>10767803035604.438</v>
      </c>
    </row>
    <row r="70" spans="1:27" x14ac:dyDescent="0.2">
      <c r="A70" s="15">
        <v>547</v>
      </c>
      <c r="B70" s="21">
        <f>Messdaten!Q70-Messdaten!C70</f>
        <v>52013.548289999999</v>
      </c>
      <c r="C70" s="15">
        <f>(B70-MIN(B:B))/(MAX(B:B)-MIN(B:B))</f>
        <v>0.43710969255035304</v>
      </c>
      <c r="D70" s="15">
        <f t="shared" si="12"/>
        <v>8.7199602270268666E-3</v>
      </c>
      <c r="E70" s="15">
        <v>467</v>
      </c>
      <c r="F70" s="21">
        <f>Messdaten!T70-Messdaten!I70</f>
        <v>108756.62641</v>
      </c>
      <c r="G70" s="15">
        <f>(F70-MIN(F:F))/(MAX(F:F)-MIN(F:F))</f>
        <v>0.4206593387037928</v>
      </c>
      <c r="H70" s="15">
        <f t="shared" si="13"/>
        <v>30238.200862480073</v>
      </c>
      <c r="I70" s="15">
        <v>687</v>
      </c>
      <c r="J70" s="21">
        <f>Messdaten!W70-Messdaten!F70</f>
        <v>53234.952130000005</v>
      </c>
      <c r="K70" s="15">
        <f t="shared" si="14"/>
        <v>0.38417688971726982</v>
      </c>
      <c r="L70" s="15">
        <f t="shared" si="15"/>
        <v>8.2705941413471068E-3</v>
      </c>
      <c r="M70" s="15">
        <v>467</v>
      </c>
      <c r="N70" s="21">
        <f>Messdaten!Z70-Messdaten!L70</f>
        <v>737.04518999999993</v>
      </c>
      <c r="O70" s="15">
        <f t="shared" si="16"/>
        <v>1.5036196320673309E-3</v>
      </c>
      <c r="P70" s="15">
        <f t="shared" si="17"/>
        <v>267.92504657648487</v>
      </c>
      <c r="Q70" s="15">
        <v>547</v>
      </c>
      <c r="R70" s="15">
        <f>Messdaten!AE70-Messdaten!C70</f>
        <v>41211.210079999997</v>
      </c>
      <c r="S70" s="15">
        <f t="shared" si="18"/>
        <v>0.40076189020836683</v>
      </c>
      <c r="U70" s="15">
        <v>547</v>
      </c>
      <c r="V70" s="15">
        <f>Messdaten!AH70-Messdaten!C70</f>
        <v>39526.738790000003</v>
      </c>
      <c r="W70" s="15">
        <f t="shared" si="19"/>
        <v>0.39949593349366025</v>
      </c>
      <c r="Y70" s="23">
        <f t="shared" si="20"/>
        <v>548</v>
      </c>
      <c r="Z70" s="15">
        <f t="shared" si="21"/>
        <v>10966923981633.037</v>
      </c>
      <c r="AA70" s="15">
        <f t="shared" si="22"/>
        <v>10960616777523.449</v>
      </c>
    </row>
    <row r="71" spans="1:27" x14ac:dyDescent="0.2">
      <c r="A71" s="15">
        <v>548</v>
      </c>
      <c r="B71" s="21">
        <f>Messdaten!Q71-Messdaten!C71</f>
        <v>50735.645679999994</v>
      </c>
      <c r="C71" s="15">
        <f>(B71-MIN(B:B))/(MAX(B:B)-MIN(B:B))</f>
        <v>0.42653063087514276</v>
      </c>
      <c r="D71" s="15">
        <f t="shared" si="12"/>
        <v>8.5057225851131683E-3</v>
      </c>
      <c r="E71" s="15">
        <v>468</v>
      </c>
      <c r="F71" s="21">
        <f>Messdaten!T71-Messdaten!I71</f>
        <v>111476.28712000001</v>
      </c>
      <c r="G71" s="15">
        <f>(F71-MIN(F:F))/(MAX(F:F)-MIN(F:F))</f>
        <v>0.43140654569520992</v>
      </c>
      <c r="H71" s="15">
        <f t="shared" si="13"/>
        <v>30994.363034307185</v>
      </c>
      <c r="I71" s="15">
        <v>688</v>
      </c>
      <c r="J71" s="21">
        <f>Messdaten!W71-Messdaten!F71</f>
        <v>50384.627350000002</v>
      </c>
      <c r="K71" s="15">
        <f t="shared" si="14"/>
        <v>0.36315002761571386</v>
      </c>
      <c r="L71" s="15">
        <f t="shared" si="15"/>
        <v>7.8277670421729225E-3</v>
      </c>
      <c r="M71" s="15">
        <v>468</v>
      </c>
      <c r="N71" s="21">
        <f>Messdaten!Z71-Messdaten!L71</f>
        <v>1203.7811199999999</v>
      </c>
      <c r="O71" s="15">
        <f t="shared" si="16"/>
        <v>2.1819833356819733E-3</v>
      </c>
      <c r="P71" s="15">
        <f t="shared" si="17"/>
        <v>437.58933240429008</v>
      </c>
      <c r="Q71" s="15">
        <v>548</v>
      </c>
      <c r="R71" s="15">
        <f>Messdaten!AE71-Messdaten!C71</f>
        <v>40127.901879999998</v>
      </c>
      <c r="S71" s="15">
        <f t="shared" si="18"/>
        <v>0.39026375005455716</v>
      </c>
      <c r="U71" s="15">
        <v>548</v>
      </c>
      <c r="V71" s="15">
        <f>Messdaten!AH71-Messdaten!C71</f>
        <v>38839.054899999996</v>
      </c>
      <c r="W71" s="15">
        <f t="shared" si="19"/>
        <v>0.39263204702198767</v>
      </c>
      <c r="Y71" s="24">
        <f t="shared" si="20"/>
        <v>549</v>
      </c>
      <c r="Z71" s="15">
        <f t="shared" si="21"/>
        <v>10954309573413.863</v>
      </c>
      <c r="AA71" s="15">
        <f t="shared" si="22"/>
        <v>10920234300242.451</v>
      </c>
    </row>
    <row r="72" spans="1:27" x14ac:dyDescent="0.2">
      <c r="A72" s="15">
        <v>549</v>
      </c>
      <c r="B72" s="21">
        <f>Messdaten!Q72-Messdaten!C72</f>
        <v>49231.276509999996</v>
      </c>
      <c r="C72" s="15">
        <f>(B72-MIN(B:B))/(MAX(B:B)-MIN(B:B))</f>
        <v>0.41407677554440303</v>
      </c>
      <c r="D72" s="15">
        <f t="shared" si="12"/>
        <v>8.2535183083346231E-3</v>
      </c>
      <c r="E72" s="15">
        <v>469</v>
      </c>
      <c r="F72" s="21">
        <f>Messdaten!T72-Messdaten!I72</f>
        <v>114921.9586</v>
      </c>
      <c r="G72" s="15">
        <f>(F72-MIN(F:F))/(MAX(F:F)-MIN(F:F))</f>
        <v>0.44502270909523289</v>
      </c>
      <c r="H72" s="15">
        <f t="shared" si="13"/>
        <v>31952.381959292692</v>
      </c>
      <c r="I72" s="15">
        <v>689</v>
      </c>
      <c r="J72" s="21">
        <f>Messdaten!W72-Messdaten!F72</f>
        <v>47680.153699999995</v>
      </c>
      <c r="K72" s="15">
        <f t="shared" si="14"/>
        <v>0.3431991101290961</v>
      </c>
      <c r="L72" s="15">
        <f t="shared" si="15"/>
        <v>7.4075994073735923E-3</v>
      </c>
      <c r="M72" s="15">
        <v>469</v>
      </c>
      <c r="N72" s="21">
        <f>Messdaten!Z72-Messdaten!L72</f>
        <v>1388.6121900000001</v>
      </c>
      <c r="O72" s="15">
        <f t="shared" si="16"/>
        <v>2.4506206552649271E-3</v>
      </c>
      <c r="P72" s="15">
        <f t="shared" si="17"/>
        <v>504.77771340238274</v>
      </c>
      <c r="Q72" s="15">
        <v>549</v>
      </c>
      <c r="R72" s="15">
        <f>Messdaten!AE72-Messdaten!C72</f>
        <v>38713.945319999999</v>
      </c>
      <c r="S72" s="15">
        <f t="shared" si="18"/>
        <v>0.3765613575698713</v>
      </c>
      <c r="U72" s="15">
        <v>549</v>
      </c>
      <c r="V72" s="15">
        <f>Messdaten!AH72-Messdaten!C72</f>
        <v>37523.611319999996</v>
      </c>
      <c r="W72" s="15">
        <f t="shared" si="19"/>
        <v>0.3795023874148527</v>
      </c>
      <c r="Y72" s="23">
        <f t="shared" si="20"/>
        <v>550</v>
      </c>
      <c r="Z72" s="15">
        <f t="shared" si="21"/>
        <v>10886159027071.039</v>
      </c>
      <c r="AA72" s="15">
        <f t="shared" si="22"/>
        <v>11143275279553.053</v>
      </c>
    </row>
    <row r="73" spans="1:27" x14ac:dyDescent="0.2">
      <c r="A73" s="15">
        <v>550</v>
      </c>
      <c r="B73" s="21">
        <f>Messdaten!Q73-Messdaten!C73</f>
        <v>47704.073170000003</v>
      </c>
      <c r="C73" s="15">
        <f>(B73-MIN(B:B))/(MAX(B:B)-MIN(B:B))</f>
        <v>0.40143388852154377</v>
      </c>
      <c r="D73" s="15">
        <f t="shared" si="12"/>
        <v>7.997485931748179E-3</v>
      </c>
      <c r="E73" s="15">
        <v>470</v>
      </c>
      <c r="F73" s="21">
        <f>Messdaten!T73-Messdaten!I73</f>
        <v>118495.28549000001</v>
      </c>
      <c r="G73" s="15">
        <f>(F73-MIN(F:F))/(MAX(F:F)-MIN(F:F))</f>
        <v>0.45914332480057463</v>
      </c>
      <c r="H73" s="15">
        <f t="shared" si="13"/>
        <v>32945.893617513699</v>
      </c>
      <c r="I73" s="15">
        <v>690</v>
      </c>
      <c r="J73" s="21">
        <f>Messdaten!W73-Messdaten!F73</f>
        <v>46299.750330000003</v>
      </c>
      <c r="K73" s="15">
        <f t="shared" si="14"/>
        <v>0.33301586662324095</v>
      </c>
      <c r="L73" s="15">
        <f t="shared" si="15"/>
        <v>7.1931396292049558E-3</v>
      </c>
      <c r="M73" s="15">
        <v>470</v>
      </c>
      <c r="N73" s="21">
        <f>Messdaten!Z73-Messdaten!L73</f>
        <v>1343.4522899999999</v>
      </c>
      <c r="O73" s="15">
        <f t="shared" si="16"/>
        <v>2.38498431777776E-3</v>
      </c>
      <c r="P73" s="15">
        <f t="shared" si="17"/>
        <v>488.36153095515795</v>
      </c>
      <c r="Q73" s="15">
        <v>550</v>
      </c>
      <c r="R73" s="15">
        <f>Messdaten!AE73-Messdaten!C73</f>
        <v>37859.896700000005</v>
      </c>
      <c r="S73" s="15">
        <f t="shared" si="18"/>
        <v>0.36828492976204369</v>
      </c>
      <c r="U73" s="15">
        <v>550</v>
      </c>
      <c r="V73" s="15">
        <f>Messdaten!AH73-Messdaten!C73</f>
        <v>36249.907899999998</v>
      </c>
      <c r="W73" s="15">
        <f t="shared" si="19"/>
        <v>0.36678934323773671</v>
      </c>
      <c r="Y73" s="24">
        <f t="shared" si="20"/>
        <v>551</v>
      </c>
      <c r="Z73" s="15">
        <f t="shared" si="21"/>
        <v>11400391532035.066</v>
      </c>
      <c r="AA73" s="15">
        <f t="shared" si="22"/>
        <v>11198988696909.082</v>
      </c>
    </row>
    <row r="74" spans="1:27" x14ac:dyDescent="0.2">
      <c r="A74" s="15">
        <v>551</v>
      </c>
      <c r="B74" s="21">
        <f>Messdaten!Q74-Messdaten!C74</f>
        <v>46307.252570000004</v>
      </c>
      <c r="C74" s="15">
        <f>(B74-MIN(B:B))/(MAX(B:B)-MIN(B:B))</f>
        <v>0.38987036939186293</v>
      </c>
      <c r="D74" s="15">
        <f t="shared" si="12"/>
        <v>7.7633119429177814E-3</v>
      </c>
      <c r="E74" s="15">
        <v>471</v>
      </c>
      <c r="F74" s="21">
        <f>Messdaten!T74-Messdaten!I74</f>
        <v>123960.78406000001</v>
      </c>
      <c r="G74" s="15">
        <f>(F74-MIN(F:F))/(MAX(F:F)-MIN(F:F))</f>
        <v>0.48074118229327789</v>
      </c>
      <c r="H74" s="15">
        <f t="shared" si="13"/>
        <v>34465.49613764172</v>
      </c>
      <c r="I74" s="15">
        <v>691</v>
      </c>
      <c r="J74" s="21">
        <f>Messdaten!W74-Messdaten!F74</f>
        <v>42911.593109999994</v>
      </c>
      <c r="K74" s="15">
        <f t="shared" si="14"/>
        <v>0.30802141155509555</v>
      </c>
      <c r="L74" s="15">
        <f t="shared" si="15"/>
        <v>6.6667547611343522E-3</v>
      </c>
      <c r="M74" s="15">
        <v>471</v>
      </c>
      <c r="N74" s="21">
        <f>Messdaten!Z74-Messdaten!L74</f>
        <v>1310.14293</v>
      </c>
      <c r="O74" s="15">
        <f t="shared" si="16"/>
        <v>2.3365718014869453E-3</v>
      </c>
      <c r="P74" s="15">
        <f t="shared" si="17"/>
        <v>476.25316643352954</v>
      </c>
      <c r="Q74" s="15">
        <v>551</v>
      </c>
      <c r="R74" s="15">
        <f>Messdaten!AE74-Messdaten!C74</f>
        <v>36502.691740000002</v>
      </c>
      <c r="S74" s="15">
        <f t="shared" si="18"/>
        <v>0.35513250657580209</v>
      </c>
      <c r="U74" s="15">
        <v>551</v>
      </c>
      <c r="V74" s="15">
        <f>Messdaten!AH74-Messdaten!C74</f>
        <v>35615.744380000004</v>
      </c>
      <c r="W74" s="15">
        <f t="shared" si="19"/>
        <v>0.36045965241750216</v>
      </c>
      <c r="Y74" s="23">
        <f t="shared" si="20"/>
        <v>552</v>
      </c>
      <c r="Z74" s="15">
        <f t="shared" si="21"/>
        <v>10997585861783.098</v>
      </c>
      <c r="AA74" s="15">
        <f t="shared" si="22"/>
        <v>11306555335496.801</v>
      </c>
    </row>
    <row r="75" spans="1:27" x14ac:dyDescent="0.2">
      <c r="A75" s="15">
        <v>552</v>
      </c>
      <c r="B75" s="21">
        <f>Messdaten!Q75-Messdaten!C75</f>
        <v>44734.708050000001</v>
      </c>
      <c r="C75" s="15">
        <f>(B75-MIN(B:B))/(MAX(B:B)-MIN(B:B))</f>
        <v>0.37685212736472296</v>
      </c>
      <c r="D75" s="15">
        <f t="shared" si="12"/>
        <v>7.4996782143904499E-3</v>
      </c>
      <c r="E75" s="15">
        <v>472</v>
      </c>
      <c r="F75" s="21">
        <f>Messdaten!T75-Messdaten!I75</f>
        <v>129183.92755000001</v>
      </c>
      <c r="G75" s="15">
        <f>(F75-MIN(F:F))/(MAX(F:F)-MIN(F:F))</f>
        <v>0.50138133200993229</v>
      </c>
      <c r="H75" s="15">
        <f t="shared" si="13"/>
        <v>35917.715346692625</v>
      </c>
      <c r="I75" s="15">
        <v>692</v>
      </c>
      <c r="J75" s="21">
        <f>Messdaten!W75-Messdaten!F75</f>
        <v>42514.444839999996</v>
      </c>
      <c r="K75" s="15">
        <f t="shared" si="14"/>
        <v>0.30509164651015863</v>
      </c>
      <c r="L75" s="15">
        <f t="shared" si="15"/>
        <v>6.605053716544569E-3</v>
      </c>
      <c r="M75" s="15">
        <v>472</v>
      </c>
      <c r="N75" s="21">
        <f>Messdaten!Z75-Messdaten!L75</f>
        <v>1567.9961000000001</v>
      </c>
      <c r="O75" s="15">
        <f t="shared" si="16"/>
        <v>2.7113409592631125E-3</v>
      </c>
      <c r="P75" s="15">
        <f t="shared" si="17"/>
        <v>569.98598433868995</v>
      </c>
      <c r="Q75" s="15">
        <v>552</v>
      </c>
      <c r="R75" s="15">
        <f>Messdaten!AE75-Messdaten!C75</f>
        <v>35356.076150000001</v>
      </c>
      <c r="S75" s="15">
        <f t="shared" si="18"/>
        <v>0.3440208661706402</v>
      </c>
      <c r="U75" s="15">
        <v>552</v>
      </c>
      <c r="V75" s="15">
        <f>Messdaten!AH75-Messdaten!C75</f>
        <v>34648.71976</v>
      </c>
      <c r="W75" s="15">
        <f t="shared" si="19"/>
        <v>0.35080761998877646</v>
      </c>
      <c r="Y75" s="24">
        <f t="shared" si="20"/>
        <v>553</v>
      </c>
      <c r="Z75" s="15">
        <f t="shared" si="21"/>
        <v>11615524809210.504</v>
      </c>
      <c r="AA75" s="15">
        <f t="shared" si="22"/>
        <v>11588319649023.395</v>
      </c>
    </row>
    <row r="76" spans="1:27" x14ac:dyDescent="0.2">
      <c r="A76" s="15">
        <v>553</v>
      </c>
      <c r="B76" s="21">
        <f>Messdaten!Q76-Messdaten!C76</f>
        <v>43826.237959999999</v>
      </c>
      <c r="C76" s="15">
        <f>(B76-MIN(B:B))/(MAX(B:B)-MIN(B:B))</f>
        <v>0.36933139688261385</v>
      </c>
      <c r="D76" s="15">
        <f t="shared" si="12"/>
        <v>7.3473751450425246E-3</v>
      </c>
      <c r="E76" s="15">
        <v>473</v>
      </c>
      <c r="F76" s="21">
        <f>Messdaten!T76-Messdaten!I76</f>
        <v>134361.23238</v>
      </c>
      <c r="G76" s="15">
        <f>(F76-MIN(F:F))/(MAX(F:F)-MIN(F:F))</f>
        <v>0.52184034237879318</v>
      </c>
      <c r="H76" s="15">
        <f t="shared" si="13"/>
        <v>37357.189781892957</v>
      </c>
      <c r="I76" s="15">
        <v>693</v>
      </c>
      <c r="J76" s="21">
        <f>Messdaten!W76-Messdaten!F76</f>
        <v>40661.557339999999</v>
      </c>
      <c r="K76" s="15">
        <f t="shared" si="14"/>
        <v>0.29142288489198376</v>
      </c>
      <c r="L76" s="15">
        <f t="shared" si="15"/>
        <v>6.3171886976251786E-3</v>
      </c>
      <c r="M76" s="15">
        <v>473</v>
      </c>
      <c r="N76" s="21">
        <f>Messdaten!Z76-Messdaten!L76</f>
        <v>1361.2189800000001</v>
      </c>
      <c r="O76" s="15">
        <f t="shared" si="16"/>
        <v>2.4108067943746942E-3</v>
      </c>
      <c r="P76" s="15">
        <f t="shared" si="17"/>
        <v>494.81994261070389</v>
      </c>
      <c r="Q76" s="15">
        <v>553</v>
      </c>
      <c r="R76" s="15">
        <f>Messdaten!AE76-Messdaten!C76</f>
        <v>34484.245999999999</v>
      </c>
      <c r="S76" s="15">
        <f t="shared" si="18"/>
        <v>0.33557212083204047</v>
      </c>
      <c r="U76" s="15">
        <v>553</v>
      </c>
      <c r="V76" s="15">
        <f>Messdaten!AH76-Messdaten!C76</f>
        <v>33962.728459999998</v>
      </c>
      <c r="W76" s="15">
        <f t="shared" si="19"/>
        <v>0.34396062753741186</v>
      </c>
      <c r="Y76" s="23">
        <f t="shared" si="20"/>
        <v>554</v>
      </c>
      <c r="Z76" s="15">
        <f t="shared" si="21"/>
        <v>11561114488836.285</v>
      </c>
      <c r="AA76" s="15">
        <f t="shared" si="22"/>
        <v>11603662110536.77</v>
      </c>
    </row>
    <row r="77" spans="1:27" x14ac:dyDescent="0.2">
      <c r="A77" s="15">
        <v>554</v>
      </c>
      <c r="B77" s="21">
        <f>Messdaten!Q77-Messdaten!C77</f>
        <v>41961.577940000003</v>
      </c>
      <c r="C77" s="15">
        <f>(B77-MIN(B:B))/(MAX(B:B)-MIN(B:B))</f>
        <v>0.35389488927983287</v>
      </c>
      <c r="D77" s="15">
        <f t="shared" si="12"/>
        <v>7.0347688771395687E-3</v>
      </c>
      <c r="E77" s="15">
        <v>474</v>
      </c>
      <c r="F77" s="21">
        <f>Messdaten!T77-Messdaten!I77</f>
        <v>141199.97674000001</v>
      </c>
      <c r="G77" s="15">
        <f>(F77-MIN(F:F))/(MAX(F:F)-MIN(F:F))</f>
        <v>0.54886481676563914</v>
      </c>
      <c r="H77" s="15">
        <f t="shared" si="13"/>
        <v>39258.603354848528</v>
      </c>
      <c r="I77" s="15">
        <v>694</v>
      </c>
      <c r="J77" s="21">
        <f>Messdaten!W77-Messdaten!F77</f>
        <v>39728.441030000002</v>
      </c>
      <c r="K77" s="15">
        <f t="shared" si="14"/>
        <v>0.28453928056985361</v>
      </c>
      <c r="L77" s="15">
        <f t="shared" si="15"/>
        <v>6.1722195377424873E-3</v>
      </c>
      <c r="M77" s="15">
        <v>474</v>
      </c>
      <c r="N77" s="21">
        <f>Messdaten!Z77-Messdaten!L77</f>
        <v>1791.12282</v>
      </c>
      <c r="O77" s="15">
        <f t="shared" si="16"/>
        <v>3.0356379726826431E-3</v>
      </c>
      <c r="P77" s="15">
        <f t="shared" si="17"/>
        <v>651.09530797250704</v>
      </c>
      <c r="Q77" s="15">
        <v>554</v>
      </c>
      <c r="R77" s="15">
        <f>Messdaten!AE77-Messdaten!C77</f>
        <v>34184.31007</v>
      </c>
      <c r="S77" s="15">
        <f t="shared" si="18"/>
        <v>0.3326654970011646</v>
      </c>
      <c r="U77" s="15">
        <v>554</v>
      </c>
      <c r="V77" s="15">
        <f>Messdaten!AH77-Messdaten!C77</f>
        <v>32327.41662</v>
      </c>
      <c r="W77" s="15">
        <f t="shared" si="19"/>
        <v>0.32763831000349103</v>
      </c>
      <c r="Y77" s="24">
        <f t="shared" si="20"/>
        <v>555</v>
      </c>
      <c r="Z77" s="15">
        <f t="shared" si="21"/>
        <v>11646209732237.252</v>
      </c>
      <c r="AA77" s="15">
        <f t="shared" si="22"/>
        <v>11604071418661.402</v>
      </c>
    </row>
    <row r="78" spans="1:27" x14ac:dyDescent="0.2">
      <c r="A78" s="15">
        <v>555</v>
      </c>
      <c r="B78" s="21">
        <f>Messdaten!Q78-Messdaten!C78</f>
        <v>41531.085899999998</v>
      </c>
      <c r="C78" s="15">
        <f>(B78-MIN(B:B))/(MAX(B:B)-MIN(B:B))</f>
        <v>0.35033107948227166</v>
      </c>
      <c r="D78" s="15">
        <f t="shared" si="12"/>
        <v>6.9625978065192351E-3</v>
      </c>
      <c r="E78" s="15">
        <v>475</v>
      </c>
      <c r="F78" s="21">
        <f>Messdaten!T78-Messdaten!I78</f>
        <v>146568.87940999999</v>
      </c>
      <c r="G78" s="15">
        <f>(F78-MIN(F:F))/(MAX(F:F)-MIN(F:F))</f>
        <v>0.57008095894804467</v>
      </c>
      <c r="H78" s="15">
        <f t="shared" si="13"/>
        <v>40751.348787522576</v>
      </c>
      <c r="I78" s="15">
        <v>695</v>
      </c>
      <c r="J78" s="21">
        <f>Messdaten!W78-Messdaten!F78</f>
        <v>36467.458030000002</v>
      </c>
      <c r="K78" s="15">
        <f t="shared" si="14"/>
        <v>0.2604829904454285</v>
      </c>
      <c r="L78" s="15">
        <f t="shared" si="15"/>
        <v>5.665592485106636E-3</v>
      </c>
      <c r="M78" s="15">
        <v>475</v>
      </c>
      <c r="N78" s="21">
        <f>Messdaten!Z78-Messdaten!L78</f>
        <v>1517.9884999999999</v>
      </c>
      <c r="O78" s="15">
        <f t="shared" si="16"/>
        <v>2.6386588738173239E-3</v>
      </c>
      <c r="P78" s="15">
        <f t="shared" si="17"/>
        <v>551.80760295724667</v>
      </c>
      <c r="Q78" s="15">
        <v>555</v>
      </c>
      <c r="R78" s="15">
        <f>Messdaten!AE78-Messdaten!C78</f>
        <v>32742.567230000004</v>
      </c>
      <c r="S78" s="15">
        <f t="shared" si="18"/>
        <v>0.31869383279695057</v>
      </c>
      <c r="U78" s="15">
        <v>555</v>
      </c>
      <c r="V78" s="15">
        <f>Messdaten!AH78-Messdaten!C78</f>
        <v>31684.676900000002</v>
      </c>
      <c r="W78" s="15">
        <f t="shared" si="19"/>
        <v>0.32122301871476455</v>
      </c>
      <c r="Y78" s="23">
        <f t="shared" si="20"/>
        <v>556</v>
      </c>
      <c r="Z78" s="15">
        <f t="shared" si="21"/>
        <v>11561933105085.551</v>
      </c>
      <c r="AA78" s="15">
        <f t="shared" si="22"/>
        <v>11531421361620.143</v>
      </c>
    </row>
    <row r="79" spans="1:27" x14ac:dyDescent="0.2">
      <c r="A79" s="15">
        <v>556</v>
      </c>
      <c r="B79" s="21">
        <f>Messdaten!Q79-Messdaten!C79</f>
        <v>39884.67772</v>
      </c>
      <c r="C79" s="15">
        <f>(B79-MIN(B:B))/(MAX(B:B)-MIN(B:B))</f>
        <v>0.33670136032958081</v>
      </c>
      <c r="D79" s="15">
        <f t="shared" si="12"/>
        <v>6.6865809932265367E-3</v>
      </c>
      <c r="E79" s="15">
        <v>476</v>
      </c>
      <c r="F79" s="21">
        <f>Messdaten!T79-Messdaten!I79</f>
        <v>154386.00655999998</v>
      </c>
      <c r="G79" s="15">
        <f>(F79-MIN(F:F))/(MAX(F:F)-MIN(F:F))</f>
        <v>0.60097168118055289</v>
      </c>
      <c r="H79" s="15">
        <f t="shared" si="13"/>
        <v>42924.787489437949</v>
      </c>
      <c r="I79" s="15">
        <v>696</v>
      </c>
      <c r="J79" s="21">
        <f>Messdaten!W79-Messdaten!F79</f>
        <v>34278.967570000001</v>
      </c>
      <c r="K79" s="15">
        <f t="shared" si="14"/>
        <v>0.24433848388397242</v>
      </c>
      <c r="L79" s="15">
        <f t="shared" si="15"/>
        <v>5.325588114807411E-3</v>
      </c>
      <c r="M79" s="15">
        <v>476</v>
      </c>
      <c r="N79" s="21">
        <f>Messdaten!Z79-Messdaten!L79</f>
        <v>1612.6718099999998</v>
      </c>
      <c r="O79" s="15">
        <f t="shared" si="16"/>
        <v>2.776273564938475E-3</v>
      </c>
      <c r="P79" s="15">
        <f t="shared" si="17"/>
        <v>586.22615772966935</v>
      </c>
      <c r="Q79" s="15">
        <v>556</v>
      </c>
      <c r="R79" s="15">
        <f>Messdaten!AE79-Messdaten!C79</f>
        <v>31634.770130000001</v>
      </c>
      <c r="S79" s="15">
        <f t="shared" si="18"/>
        <v>0.30795837522561126</v>
      </c>
      <c r="U79" s="15">
        <v>556</v>
      </c>
      <c r="V79" s="15">
        <f>Messdaten!AH79-Messdaten!C79</f>
        <v>30880.570159999999</v>
      </c>
      <c r="W79" s="15">
        <f t="shared" si="19"/>
        <v>0.31319709655092459</v>
      </c>
      <c r="Y79" s="24">
        <f t="shared" si="20"/>
        <v>557</v>
      </c>
      <c r="Z79" s="15">
        <f t="shared" si="21"/>
        <v>11500909618154.734</v>
      </c>
      <c r="AA79" s="15">
        <f t="shared" si="22"/>
        <v>11713779291987.342</v>
      </c>
    </row>
    <row r="80" spans="1:27" x14ac:dyDescent="0.2">
      <c r="A80" s="15">
        <v>557</v>
      </c>
      <c r="B80" s="21">
        <f>Messdaten!Q80-Messdaten!C80</f>
        <v>38875.586329999998</v>
      </c>
      <c r="C80" s="15">
        <f>(B80-MIN(B:B))/(MAX(B:B)-MIN(B:B))</f>
        <v>0.32834764075252043</v>
      </c>
      <c r="D80" s="15">
        <f t="shared" si="12"/>
        <v>6.5174089779436077E-3</v>
      </c>
      <c r="E80" s="15">
        <v>477</v>
      </c>
      <c r="F80" s="21">
        <f>Messdaten!T80-Messdaten!I80</f>
        <v>162536.98453000002</v>
      </c>
      <c r="G80" s="15">
        <f>(F80-MIN(F:F))/(MAX(F:F)-MIN(F:F))</f>
        <v>0.63318167234010136</v>
      </c>
      <c r="H80" s="15">
        <f t="shared" si="13"/>
        <v>45191.048564449091</v>
      </c>
      <c r="I80" s="15">
        <v>697</v>
      </c>
      <c r="J80" s="21">
        <f>Messdaten!W80-Messdaten!F80</f>
        <v>34146.8727</v>
      </c>
      <c r="K80" s="15">
        <f t="shared" si="14"/>
        <v>0.24336401927723628</v>
      </c>
      <c r="L80" s="15">
        <f t="shared" si="15"/>
        <v>5.3050658260814605E-3</v>
      </c>
      <c r="M80" s="15">
        <v>477</v>
      </c>
      <c r="N80" s="21">
        <f>Messdaten!Z80-Messdaten!L80</f>
        <v>1738.9922000000001</v>
      </c>
      <c r="O80" s="15">
        <f t="shared" si="16"/>
        <v>2.9598702458334862E-3</v>
      </c>
      <c r="P80" s="15">
        <f t="shared" si="17"/>
        <v>632.14518255134942</v>
      </c>
      <c r="Q80" s="15">
        <v>557</v>
      </c>
      <c r="R80" s="15">
        <f>Messdaten!AE80-Messdaten!C80</f>
        <v>31083.317330000002</v>
      </c>
      <c r="S80" s="15">
        <f t="shared" si="18"/>
        <v>0.30261434775253321</v>
      </c>
      <c r="U80" s="15">
        <v>557</v>
      </c>
      <c r="V80" s="15">
        <f>Messdaten!AH80-Messdaten!C80</f>
        <v>29772.440569999999</v>
      </c>
      <c r="W80" s="15">
        <f t="shared" si="19"/>
        <v>0.30213667211425355</v>
      </c>
      <c r="Y80" s="23">
        <f t="shared" si="20"/>
        <v>558</v>
      </c>
      <c r="Z80" s="15">
        <f t="shared" si="21"/>
        <v>11926648965819.949</v>
      </c>
      <c r="AA80" s="15">
        <f t="shared" si="22"/>
        <v>11869231859901.816</v>
      </c>
    </row>
    <row r="81" spans="1:27" x14ac:dyDescent="0.2">
      <c r="A81" s="15">
        <v>558</v>
      </c>
      <c r="B81" s="21">
        <f>Messdaten!Q81-Messdaten!C81</f>
        <v>37988.909619999999</v>
      </c>
      <c r="C81" s="15">
        <f>(B81-MIN(B:B))/(MAX(B:B)-MIN(B:B))</f>
        <v>0.32100732582737723</v>
      </c>
      <c r="D81" s="15">
        <f t="shared" si="12"/>
        <v>6.3687595221840676E-3</v>
      </c>
      <c r="E81" s="15">
        <v>478</v>
      </c>
      <c r="F81" s="21">
        <f>Messdaten!T81-Messdaten!I81</f>
        <v>171457.19122000001</v>
      </c>
      <c r="G81" s="15">
        <f>(F81-MIN(F:F))/(MAX(F:F)-MIN(F:F))</f>
        <v>0.66843140306980453</v>
      </c>
      <c r="H81" s="15">
        <f t="shared" si="13"/>
        <v>47671.182516105546</v>
      </c>
      <c r="I81" s="15">
        <v>698</v>
      </c>
      <c r="J81" s="21">
        <f>Messdaten!W81-Messdaten!F81</f>
        <v>33372.421390000003</v>
      </c>
      <c r="K81" s="15">
        <f t="shared" si="14"/>
        <v>0.23765088756186056</v>
      </c>
      <c r="L81" s="15">
        <f t="shared" si="15"/>
        <v>5.1847468963000815E-3</v>
      </c>
      <c r="M81" s="15">
        <v>478</v>
      </c>
      <c r="N81" s="21">
        <f>Messdaten!Z81-Messdaten!L81</f>
        <v>2034.4511499999999</v>
      </c>
      <c r="O81" s="15">
        <f t="shared" si="16"/>
        <v>3.389296426046553E-3</v>
      </c>
      <c r="P81" s="15">
        <f t="shared" si="17"/>
        <v>739.54816681095667</v>
      </c>
      <c r="Q81" s="15">
        <v>558</v>
      </c>
      <c r="R81" s="15">
        <f>Messdaten!AE81-Messdaten!C81</f>
        <v>29869.203440000001</v>
      </c>
      <c r="S81" s="15">
        <f t="shared" si="18"/>
        <v>0.29084859375943406</v>
      </c>
      <c r="U81" s="15">
        <v>558</v>
      </c>
      <c r="V81" s="15">
        <f>Messdaten!AH81-Messdaten!C81</f>
        <v>29081.179350000002</v>
      </c>
      <c r="W81" s="15">
        <f t="shared" si="19"/>
        <v>0.29523707972108321</v>
      </c>
      <c r="Y81" s="24">
        <f t="shared" si="20"/>
        <v>559</v>
      </c>
      <c r="Z81" s="15">
        <f t="shared" si="21"/>
        <v>11811814753983.682</v>
      </c>
      <c r="AA81" s="15">
        <f t="shared" si="22"/>
        <v>11843924390233.855</v>
      </c>
    </row>
    <row r="82" spans="1:27" x14ac:dyDescent="0.2">
      <c r="A82" s="15">
        <v>559</v>
      </c>
      <c r="B82" s="21">
        <f>Messdaten!Q82-Messdaten!C82</f>
        <v>36586.603329999998</v>
      </c>
      <c r="C82" s="15">
        <f>(B82-MIN(B:B))/(MAX(B:B)-MIN(B:B))</f>
        <v>0.30939839364948207</v>
      </c>
      <c r="D82" s="15">
        <f t="shared" si="12"/>
        <v>6.1336658691471231E-3</v>
      </c>
      <c r="E82" s="15">
        <v>479</v>
      </c>
      <c r="F82" s="21">
        <f>Messdaten!T82-Messdaten!I82</f>
        <v>181204.88602999999</v>
      </c>
      <c r="G82" s="15">
        <f>(F82-MIN(F:F))/(MAX(F:F)-MIN(F:F))</f>
        <v>0.70695109540754186</v>
      </c>
      <c r="H82" s="15">
        <f t="shared" si="13"/>
        <v>50381.387524669801</v>
      </c>
      <c r="I82" s="15">
        <v>699</v>
      </c>
      <c r="J82" s="21">
        <f>Messdaten!W82-Messdaten!F82</f>
        <v>32254.924860000003</v>
      </c>
      <c r="K82" s="15">
        <f t="shared" si="14"/>
        <v>0.22940710930888641</v>
      </c>
      <c r="L82" s="15">
        <f t="shared" si="15"/>
        <v>5.0111323839506791E-3</v>
      </c>
      <c r="M82" s="15">
        <v>479</v>
      </c>
      <c r="N82" s="21">
        <f>Messdaten!Z82-Messdaten!L82</f>
        <v>2291.6664000000001</v>
      </c>
      <c r="O82" s="15">
        <f t="shared" si="16"/>
        <v>3.7631384176330298E-3</v>
      </c>
      <c r="P82" s="15">
        <f t="shared" si="17"/>
        <v>833.04909290265573</v>
      </c>
      <c r="Q82" s="15">
        <v>559</v>
      </c>
      <c r="R82" s="15">
        <f>Messdaten!AE82-Messdaten!C82</f>
        <v>29120.624459999999</v>
      </c>
      <c r="S82" s="15">
        <f t="shared" si="18"/>
        <v>0.28359425279881367</v>
      </c>
      <c r="U82" s="15">
        <v>559</v>
      </c>
      <c r="V82" s="15">
        <f>Messdaten!AH82-Messdaten!C82</f>
        <v>27897.01842</v>
      </c>
      <c r="W82" s="15">
        <f t="shared" si="19"/>
        <v>0.28341777392389472</v>
      </c>
      <c r="Y82" s="23">
        <f t="shared" si="20"/>
        <v>560</v>
      </c>
      <c r="Z82" s="15">
        <f t="shared" si="21"/>
        <v>11876034026484.031</v>
      </c>
      <c r="AA82" s="15">
        <f t="shared" si="22"/>
        <v>11916790226570.375</v>
      </c>
    </row>
    <row r="83" spans="1:27" x14ac:dyDescent="0.2">
      <c r="A83" s="15">
        <v>560</v>
      </c>
      <c r="B83" s="21">
        <f>Messdaten!Q83-Messdaten!C83</f>
        <v>35026.346649999999</v>
      </c>
      <c r="C83" s="15">
        <f>(B83-MIN(B:B))/(MAX(B:B)-MIN(B:B))</f>
        <v>0.29648187597613707</v>
      </c>
      <c r="D83" s="15">
        <f t="shared" si="12"/>
        <v>5.872092170738843E-3</v>
      </c>
      <c r="E83" s="15">
        <v>480</v>
      </c>
      <c r="F83" s="21">
        <f>Messdaten!T83-Messdaten!I83</f>
        <v>188406.91158000001</v>
      </c>
      <c r="G83" s="15">
        <f>(F83-MIN(F:F))/(MAX(F:F)-MIN(F:F))</f>
        <v>0.73541113788957801</v>
      </c>
      <c r="H83" s="15">
        <f t="shared" si="13"/>
        <v>52383.806157780236</v>
      </c>
      <c r="I83" s="15">
        <v>700</v>
      </c>
      <c r="J83" s="21">
        <f>Messdaten!W83-Messdaten!F83</f>
        <v>31060.212889999999</v>
      </c>
      <c r="K83" s="15">
        <f t="shared" si="14"/>
        <v>0.2205937123161871</v>
      </c>
      <c r="L83" s="15">
        <f t="shared" si="15"/>
        <v>4.8255216634685806E-3</v>
      </c>
      <c r="M83" s="15">
        <v>480</v>
      </c>
      <c r="N83" s="21">
        <f>Messdaten!Z83-Messdaten!L83</f>
        <v>2194.5239900000001</v>
      </c>
      <c r="O83" s="15">
        <f t="shared" si="16"/>
        <v>3.6219496194497564E-3</v>
      </c>
      <c r="P83" s="15">
        <f t="shared" si="17"/>
        <v>797.73662485194916</v>
      </c>
      <c r="Q83" s="15">
        <v>560</v>
      </c>
      <c r="R83" s="15">
        <f>Messdaten!AE83-Messdaten!C83</f>
        <v>28108.188470000001</v>
      </c>
      <c r="S83" s="15">
        <f t="shared" si="18"/>
        <v>0.27378292217306838</v>
      </c>
      <c r="U83" s="15">
        <v>560</v>
      </c>
      <c r="V83" s="15">
        <f>Messdaten!AH83-Messdaten!C83</f>
        <v>27150.549179999998</v>
      </c>
      <c r="W83" s="15">
        <f t="shared" si="19"/>
        <v>0.27596714116593429</v>
      </c>
      <c r="Y83" s="24">
        <f t="shared" si="20"/>
        <v>561</v>
      </c>
      <c r="Z83" s="15">
        <f t="shared" si="21"/>
        <v>11957546426656.717</v>
      </c>
      <c r="AA83" s="15">
        <f t="shared" si="22"/>
        <v>12022629655100.801</v>
      </c>
    </row>
    <row r="84" spans="1:27" x14ac:dyDescent="0.2">
      <c r="A84" s="15">
        <v>561</v>
      </c>
      <c r="B84" s="21">
        <f>Messdaten!Q84-Messdaten!C84</f>
        <v>34516.165130000001</v>
      </c>
      <c r="C84" s="15">
        <f>(B84-MIN(B:B))/(MAX(B:B)-MIN(B:B))</f>
        <v>0.2922583602532664</v>
      </c>
      <c r="D84" s="15">
        <f t="shared" si="12"/>
        <v>5.7865613290788943E-3</v>
      </c>
      <c r="E84" s="15">
        <v>481</v>
      </c>
      <c r="F84" s="21">
        <f>Messdaten!T84-Messdaten!I84</f>
        <v>196286.95179000002</v>
      </c>
      <c r="G84" s="15">
        <f>(F84-MIN(F:F))/(MAX(F:F)-MIN(F:F))</f>
        <v>0.76655047189773817</v>
      </c>
      <c r="H84" s="15">
        <f t="shared" si="13"/>
        <v>54574.73692255147</v>
      </c>
      <c r="I84" s="15">
        <v>701</v>
      </c>
      <c r="J84" s="21">
        <f>Messdaten!W84-Messdaten!F84</f>
        <v>30943.601070000001</v>
      </c>
      <c r="K84" s="15">
        <f t="shared" si="14"/>
        <v>0.21973346625729712</v>
      </c>
      <c r="L84" s="15">
        <f t="shared" si="15"/>
        <v>4.8074048248744816E-3</v>
      </c>
      <c r="M84" s="15">
        <v>481</v>
      </c>
      <c r="N84" s="21">
        <f>Messdaten!Z84-Messdaten!L84</f>
        <v>2219.7342600000002</v>
      </c>
      <c r="O84" s="15">
        <f t="shared" si="16"/>
        <v>3.658590749962947E-3</v>
      </c>
      <c r="P84" s="15">
        <f t="shared" si="17"/>
        <v>806.90086994247849</v>
      </c>
      <c r="Q84" s="15">
        <v>561</v>
      </c>
      <c r="R84" s="15">
        <f>Messdaten!AE84-Messdaten!C84</f>
        <v>27079.29163</v>
      </c>
      <c r="S84" s="15">
        <f t="shared" si="18"/>
        <v>0.26381207248307997</v>
      </c>
      <c r="U84" s="15">
        <v>561</v>
      </c>
      <c r="V84" s="15">
        <f>Messdaten!AH84-Messdaten!C84</f>
        <v>26369.973099999999</v>
      </c>
      <c r="W84" s="15">
        <f t="shared" si="19"/>
        <v>0.26817608240545765</v>
      </c>
      <c r="Y84" s="23">
        <f t="shared" si="20"/>
        <v>562</v>
      </c>
      <c r="Z84" s="15">
        <f t="shared" si="21"/>
        <v>12087712883544.885</v>
      </c>
      <c r="AA84" s="15">
        <f t="shared" si="22"/>
        <v>11988406771698.006</v>
      </c>
    </row>
    <row r="85" spans="1:27" x14ac:dyDescent="0.2">
      <c r="A85" s="15">
        <v>562</v>
      </c>
      <c r="B85" s="21">
        <f>Messdaten!Q85-Messdaten!C85</f>
        <v>33335.683469999996</v>
      </c>
      <c r="C85" s="15">
        <f>(B85-MIN(B:B))/(MAX(B:B)-MIN(B:B))</f>
        <v>0.28248579371347776</v>
      </c>
      <c r="D85" s="15">
        <f t="shared" si="12"/>
        <v>5.588656101261285E-3</v>
      </c>
      <c r="E85" s="15">
        <v>482</v>
      </c>
      <c r="F85" s="21">
        <f>Messdaten!T85-Messdaten!I85</f>
        <v>205366.07795000001</v>
      </c>
      <c r="G85" s="15">
        <f>(F85-MIN(F:F))/(MAX(F:F)-MIN(F:F))</f>
        <v>0.80242820024228223</v>
      </c>
      <c r="H85" s="15">
        <f t="shared" si="13"/>
        <v>57099.056125382434</v>
      </c>
      <c r="I85" s="15">
        <v>702</v>
      </c>
      <c r="J85" s="21">
        <f>Messdaten!W85-Messdaten!F85</f>
        <v>29380.246029999998</v>
      </c>
      <c r="K85" s="15">
        <f t="shared" si="14"/>
        <v>0.20820058724206694</v>
      </c>
      <c r="L85" s="15">
        <f t="shared" si="15"/>
        <v>4.5645216340885735E-3</v>
      </c>
      <c r="M85" s="15">
        <v>482</v>
      </c>
      <c r="N85" s="21">
        <f>Messdaten!Z85-Messdaten!L85</f>
        <v>2091.9314100000001</v>
      </c>
      <c r="O85" s="15">
        <f t="shared" si="16"/>
        <v>3.4728394308851411E-3</v>
      </c>
      <c r="P85" s="15">
        <f t="shared" si="17"/>
        <v>760.44295256721205</v>
      </c>
      <c r="Q85" s="15">
        <v>562</v>
      </c>
      <c r="R85" s="15">
        <f>Messdaten!AE85-Messdaten!C85</f>
        <v>26217.711720000003</v>
      </c>
      <c r="S85" s="15">
        <f t="shared" si="18"/>
        <v>0.25546266033159193</v>
      </c>
      <c r="U85" s="15">
        <v>562</v>
      </c>
      <c r="V85" s="15">
        <f>Messdaten!AH85-Messdaten!C85</f>
        <v>25181.747960000001</v>
      </c>
      <c r="W85" s="15">
        <f t="shared" si="19"/>
        <v>0.25631621105708691</v>
      </c>
      <c r="Y85" s="24">
        <f t="shared" si="20"/>
        <v>563</v>
      </c>
      <c r="Z85" s="15">
        <f t="shared" si="21"/>
        <v>11889100659851.127</v>
      </c>
      <c r="AA85" s="15">
        <f t="shared" si="22"/>
        <v>11964238139089.762</v>
      </c>
    </row>
    <row r="86" spans="1:27" x14ac:dyDescent="0.2">
      <c r="A86" s="15">
        <v>563</v>
      </c>
      <c r="B86" s="21">
        <f>Messdaten!Q86-Messdaten!C86</f>
        <v>31759.85915</v>
      </c>
      <c r="C86" s="15">
        <f>(B86-MIN(B:B))/(MAX(B:B)-MIN(B:B))</f>
        <v>0.26944040000340769</v>
      </c>
      <c r="D86" s="15">
        <f t="shared" si="12"/>
        <v>5.3244725212723094E-3</v>
      </c>
      <c r="E86" s="15">
        <v>483</v>
      </c>
      <c r="F86" s="21">
        <f>Messdaten!T86-Messdaten!I86</f>
        <v>212310.81677999999</v>
      </c>
      <c r="G86" s="15">
        <f>(F86-MIN(F:F))/(MAX(F:F)-MIN(F:F))</f>
        <v>0.82987153000503844</v>
      </c>
      <c r="H86" s="15">
        <f t="shared" si="13"/>
        <v>59029.939921716294</v>
      </c>
      <c r="I86" s="15">
        <v>703</v>
      </c>
      <c r="J86" s="21">
        <f>Messdaten!W86-Messdaten!F86</f>
        <v>29463.11937</v>
      </c>
      <c r="K86" s="15">
        <f t="shared" si="14"/>
        <v>0.20881194434224815</v>
      </c>
      <c r="L86" s="15">
        <f t="shared" si="15"/>
        <v>4.5773968548383564E-3</v>
      </c>
      <c r="M86" s="15">
        <v>483</v>
      </c>
      <c r="N86" s="21">
        <f>Messdaten!Z86-Messdaten!L86</f>
        <v>2647.51575</v>
      </c>
      <c r="O86" s="15">
        <f t="shared" si="16"/>
        <v>4.2803372606594553E-3</v>
      </c>
      <c r="P86" s="15">
        <f t="shared" si="17"/>
        <v>962.4047348178575</v>
      </c>
      <c r="Q86" s="15">
        <v>563</v>
      </c>
      <c r="R86" s="15">
        <f>Messdaten!AE86-Messdaten!C86</f>
        <v>25812.50488</v>
      </c>
      <c r="S86" s="15">
        <f t="shared" si="18"/>
        <v>0.25153587550932033</v>
      </c>
      <c r="U86" s="15">
        <v>563</v>
      </c>
      <c r="V86" s="15">
        <f>Messdaten!AH86-Messdaten!C86</f>
        <v>24630.08222</v>
      </c>
      <c r="W86" s="15">
        <f t="shared" si="19"/>
        <v>0.25080994420289143</v>
      </c>
      <c r="Y86" s="23">
        <f t="shared" si="20"/>
        <v>564</v>
      </c>
      <c r="Z86" s="15">
        <f t="shared" si="21"/>
        <v>12039375618328.398</v>
      </c>
      <c r="AA86" s="15">
        <f t="shared" si="22"/>
        <v>12068068959801.682</v>
      </c>
    </row>
    <row r="87" spans="1:27" x14ac:dyDescent="0.2">
      <c r="A87" s="15">
        <v>564</v>
      </c>
      <c r="B87" s="21">
        <f>Messdaten!Q87-Messdaten!C87</f>
        <v>31186.381659999999</v>
      </c>
      <c r="C87" s="15">
        <f>(B87-MIN(B:B))/(MAX(B:B)-MIN(B:B))</f>
        <v>0.26469289132114998</v>
      </c>
      <c r="D87" s="15">
        <f t="shared" si="12"/>
        <v>5.2283302454942003E-3</v>
      </c>
      <c r="E87" s="15">
        <v>484</v>
      </c>
      <c r="F87" s="21">
        <f>Messdaten!T87-Messdaten!I87</f>
        <v>220414.76565999998</v>
      </c>
      <c r="G87" s="15">
        <f>(F87-MIN(F:F))/(MAX(F:F)-MIN(F:F))</f>
        <v>0.86189567762793162</v>
      </c>
      <c r="H87" s="15">
        <f t="shared" si="13"/>
        <v>61283.125241100002</v>
      </c>
      <c r="I87" s="15">
        <v>704</v>
      </c>
      <c r="J87" s="21">
        <f>Messdaten!W87-Messdaten!F87</f>
        <v>28710.96528</v>
      </c>
      <c r="K87" s="15">
        <f t="shared" si="14"/>
        <v>0.20326329934553611</v>
      </c>
      <c r="L87" s="15">
        <f t="shared" si="15"/>
        <v>4.460542026173288E-3</v>
      </c>
      <c r="M87" s="15">
        <v>484</v>
      </c>
      <c r="N87" s="21">
        <f>Messdaten!Z87-Messdaten!L87</f>
        <v>2658.56169</v>
      </c>
      <c r="O87" s="15">
        <f t="shared" si="16"/>
        <v>4.2963916594890138E-3</v>
      </c>
      <c r="P87" s="15">
        <f t="shared" si="17"/>
        <v>966.42007068753605</v>
      </c>
      <c r="Q87" s="15">
        <v>564</v>
      </c>
      <c r="R87" s="15">
        <f>Messdaten!AE87-Messdaten!C87</f>
        <v>24616.325989999998</v>
      </c>
      <c r="S87" s="15">
        <f t="shared" si="18"/>
        <v>0.23994392629648456</v>
      </c>
      <c r="U87" s="15">
        <v>564</v>
      </c>
      <c r="V87" s="15">
        <f>Messdaten!AH87-Messdaten!C87</f>
        <v>23920.297009999998</v>
      </c>
      <c r="W87" s="15">
        <f t="shared" si="19"/>
        <v>0.24372546080643984</v>
      </c>
      <c r="Y87" s="24">
        <f t="shared" si="20"/>
        <v>565</v>
      </c>
      <c r="Z87" s="15">
        <f t="shared" si="21"/>
        <v>12096762301274.965</v>
      </c>
      <c r="AA87" s="15">
        <f t="shared" si="22"/>
        <v>12385552076004.17</v>
      </c>
    </row>
    <row r="88" spans="1:27" x14ac:dyDescent="0.2">
      <c r="A88" s="15">
        <v>565</v>
      </c>
      <c r="B88" s="21">
        <f>Messdaten!Q88-Messdaten!C88</f>
        <v>30049.995580000003</v>
      </c>
      <c r="C88" s="15">
        <f>(B88-MIN(B:B))/(MAX(B:B)-MIN(B:B))</f>
        <v>0.25528536813973141</v>
      </c>
      <c r="D88" s="15">
        <f t="shared" si="12"/>
        <v>5.0378175474391036E-3</v>
      </c>
      <c r="E88" s="15">
        <v>485</v>
      </c>
      <c r="F88" s="21">
        <f>Messdaten!T88-Messdaten!I88</f>
        <v>228585.11575</v>
      </c>
      <c r="G88" s="15">
        <f>(F88-MIN(F:F))/(MAX(F:F)-MIN(F:F))</f>
        <v>0.89418222105105361</v>
      </c>
      <c r="H88" s="15">
        <f t="shared" si="13"/>
        <v>63554.772452800258</v>
      </c>
      <c r="I88" s="15">
        <v>705</v>
      </c>
      <c r="J88" s="21">
        <f>Messdaten!W88-Messdaten!F88</f>
        <v>27894.404450000002</v>
      </c>
      <c r="K88" s="15">
        <f t="shared" si="14"/>
        <v>0.19723952546179574</v>
      </c>
      <c r="L88" s="15">
        <f t="shared" si="15"/>
        <v>4.3336809518896187E-3</v>
      </c>
      <c r="M88" s="15">
        <v>485</v>
      </c>
      <c r="N88" s="21">
        <f>Messdaten!Z88-Messdaten!L88</f>
        <v>2620.7214800000002</v>
      </c>
      <c r="O88" s="15">
        <f t="shared" si="16"/>
        <v>4.2413939116165604E-3</v>
      </c>
      <c r="P88" s="15">
        <f t="shared" si="17"/>
        <v>952.66468612731126</v>
      </c>
      <c r="Q88" s="15">
        <v>565</v>
      </c>
      <c r="R88" s="15">
        <f>Messdaten!AE88-Messdaten!C88</f>
        <v>23986.032510000001</v>
      </c>
      <c r="S88" s="15">
        <f t="shared" si="18"/>
        <v>0.23383586832085734</v>
      </c>
      <c r="U88" s="15">
        <v>565</v>
      </c>
      <c r="V88" s="15">
        <f>Messdaten!AH88-Messdaten!C88</f>
        <v>22669.107</v>
      </c>
      <c r="W88" s="15">
        <f t="shared" si="19"/>
        <v>0.23123712669244634</v>
      </c>
      <c r="Y88" s="23">
        <f t="shared" si="20"/>
        <v>566</v>
      </c>
      <c r="Z88" s="15">
        <f t="shared" si="21"/>
        <v>12674341850733.375</v>
      </c>
      <c r="AA88" s="15">
        <f t="shared" si="22"/>
        <v>12578328568540.088</v>
      </c>
    </row>
    <row r="89" spans="1:27" x14ac:dyDescent="0.2">
      <c r="A89" s="15">
        <v>566</v>
      </c>
      <c r="B89" s="21">
        <f>Messdaten!Q89-Messdaten!C89</f>
        <v>29289.589950000001</v>
      </c>
      <c r="C89" s="15">
        <f>(B89-MIN(B:B))/(MAX(B:B)-MIN(B:B))</f>
        <v>0.24899038290768225</v>
      </c>
      <c r="D89" s="15">
        <f t="shared" si="12"/>
        <v>4.9103371684225058E-3</v>
      </c>
      <c r="E89" s="15">
        <v>486</v>
      </c>
      <c r="F89" s="21">
        <f>Messdaten!T89-Messdaten!I89</f>
        <v>234266.60115</v>
      </c>
      <c r="G89" s="15">
        <f>(F89-MIN(F:F))/(MAX(F:F)-MIN(F:F))</f>
        <v>0.91663358764542346</v>
      </c>
      <c r="H89" s="15">
        <f t="shared" si="13"/>
        <v>65134.426974951297</v>
      </c>
      <c r="I89" s="15">
        <v>706</v>
      </c>
      <c r="J89" s="21">
        <f>Messdaten!W89-Messdaten!F89</f>
        <v>27168.47798</v>
      </c>
      <c r="K89" s="15">
        <f t="shared" si="14"/>
        <v>0.19188436176688536</v>
      </c>
      <c r="L89" s="15">
        <f t="shared" si="15"/>
        <v>4.2209008521692437E-3</v>
      </c>
      <c r="M89" s="15">
        <v>486</v>
      </c>
      <c r="N89" s="21">
        <f>Messdaten!Z89-Messdaten!L89</f>
        <v>2530.1973500000004</v>
      </c>
      <c r="O89" s="15">
        <f t="shared" si="16"/>
        <v>4.1098242591724185E-3</v>
      </c>
      <c r="P89" s="15">
        <f t="shared" si="17"/>
        <v>919.75804474953406</v>
      </c>
      <c r="Q89" s="15">
        <v>566</v>
      </c>
      <c r="R89" s="15">
        <f>Messdaten!AE89-Messdaten!C89</f>
        <v>22821.36246</v>
      </c>
      <c r="S89" s="15">
        <f t="shared" si="18"/>
        <v>0.22254926547058396</v>
      </c>
      <c r="U89" s="15">
        <v>566</v>
      </c>
      <c r="V89" s="15">
        <f>Messdaten!AH89-Messdaten!C89</f>
        <v>22154.8907</v>
      </c>
      <c r="W89" s="15">
        <f t="shared" si="19"/>
        <v>0.22610464888337117</v>
      </c>
      <c r="Y89" s="24">
        <f t="shared" si="20"/>
        <v>567</v>
      </c>
      <c r="Z89" s="15">
        <f t="shared" si="21"/>
        <v>12482315286346.801</v>
      </c>
      <c r="AA89" s="15">
        <f t="shared" si="22"/>
        <v>12687435283547.434</v>
      </c>
    </row>
    <row r="90" spans="1:27" x14ac:dyDescent="0.2">
      <c r="A90" s="15">
        <v>567</v>
      </c>
      <c r="B90" s="21">
        <f>Messdaten!Q90-Messdaten!C90</f>
        <v>28659.572390000001</v>
      </c>
      <c r="C90" s="15">
        <f>(B90-MIN(B:B))/(MAX(B:B)-MIN(B:B))</f>
        <v>0.24377480969298676</v>
      </c>
      <c r="D90" s="15">
        <f t="shared" si="12"/>
        <v>4.8047160707250678E-3</v>
      </c>
      <c r="E90" s="15">
        <v>487</v>
      </c>
      <c r="F90" s="21">
        <f>Messdaten!T90-Messdaten!I90</f>
        <v>240326.23723</v>
      </c>
      <c r="G90" s="15">
        <f>(F90-MIN(F:F))/(MAX(F:F)-MIN(F:F))</f>
        <v>0.94057928168180172</v>
      </c>
      <c r="H90" s="15">
        <f t="shared" si="13"/>
        <v>66819.220803051532</v>
      </c>
      <c r="I90" s="15">
        <v>707</v>
      </c>
      <c r="J90" s="21">
        <f>Messdaten!W90-Messdaten!F90</f>
        <v>25760.855589999999</v>
      </c>
      <c r="K90" s="15">
        <f t="shared" si="14"/>
        <v>0.18150032339579397</v>
      </c>
      <c r="L90" s="15">
        <f t="shared" si="15"/>
        <v>4.0022123209288371E-3</v>
      </c>
      <c r="M90" s="15">
        <v>487</v>
      </c>
      <c r="N90" s="21">
        <f>Messdaten!Z90-Messdaten!L90</f>
        <v>3213.5949599999999</v>
      </c>
      <c r="O90" s="15">
        <f t="shared" si="16"/>
        <v>5.1030885526691591E-3</v>
      </c>
      <c r="P90" s="15">
        <f t="shared" si="17"/>
        <v>1168.1815321743802</v>
      </c>
      <c r="Q90" s="15">
        <v>567</v>
      </c>
      <c r="R90" s="15">
        <f>Messdaten!AE90-Messdaten!C90</f>
        <v>21861.866279999998</v>
      </c>
      <c r="S90" s="15">
        <f t="shared" si="18"/>
        <v>0.21325096478876043</v>
      </c>
      <c r="U90" s="15">
        <v>567</v>
      </c>
      <c r="V90" s="15">
        <f>Messdaten!AH90-Messdaten!C90</f>
        <v>21298.720229999999</v>
      </c>
      <c r="W90" s="15">
        <f t="shared" si="19"/>
        <v>0.21755907003248592</v>
      </c>
      <c r="Y90" s="23">
        <f t="shared" si="20"/>
        <v>568</v>
      </c>
      <c r="Z90" s="15">
        <f t="shared" si="21"/>
        <v>12892555280748.068</v>
      </c>
      <c r="AA90" s="15">
        <f t="shared" si="22"/>
        <v>12620960492156.266</v>
      </c>
    </row>
    <row r="91" spans="1:27" x14ac:dyDescent="0.2">
      <c r="A91" s="15">
        <v>568</v>
      </c>
      <c r="B91" s="21">
        <f>Messdaten!Q91-Messdaten!C91</f>
        <v>27271.33742</v>
      </c>
      <c r="C91" s="15">
        <f>(B91-MIN(B:B))/(MAX(B:B)-MIN(B:B))</f>
        <v>0.23228236633119287</v>
      </c>
      <c r="D91" s="15">
        <f t="shared" si="12"/>
        <v>4.5719814444181908E-3</v>
      </c>
      <c r="E91" s="15">
        <v>488</v>
      </c>
      <c r="F91" s="21">
        <f>Messdaten!T91-Messdaten!I91</f>
        <v>245053.20646000002</v>
      </c>
      <c r="G91" s="15">
        <f>(F91-MIN(F:F))/(MAX(F:F)-MIN(F:F))</f>
        <v>0.95925871348374503</v>
      </c>
      <c r="H91" s="15">
        <f t="shared" si="13"/>
        <v>68133.485963398227</v>
      </c>
      <c r="I91" s="15">
        <v>708</v>
      </c>
      <c r="J91" s="21">
        <f>Messdaten!W91-Messdaten!F91</f>
        <v>26126.973669999999</v>
      </c>
      <c r="K91" s="15">
        <f t="shared" si="14"/>
        <v>0.18420117855274434</v>
      </c>
      <c r="L91" s="15">
        <f t="shared" si="15"/>
        <v>4.0590925082180989E-3</v>
      </c>
      <c r="M91" s="15">
        <v>488</v>
      </c>
      <c r="N91" s="21">
        <f>Messdaten!Z91-Messdaten!L91</f>
        <v>3081.6453999999999</v>
      </c>
      <c r="O91" s="15">
        <f t="shared" si="16"/>
        <v>4.911310319071582E-3</v>
      </c>
      <c r="P91" s="15">
        <f t="shared" si="17"/>
        <v>1120.216234403769</v>
      </c>
      <c r="Q91" s="15">
        <v>568</v>
      </c>
      <c r="R91" s="15">
        <f>Messdaten!AE91-Messdaten!C91</f>
        <v>21224.798129999999</v>
      </c>
      <c r="S91" s="15">
        <f t="shared" si="18"/>
        <v>0.20707725473447652</v>
      </c>
      <c r="U91" s="15">
        <v>568</v>
      </c>
      <c r="V91" s="15">
        <f>Messdaten!AH91-Messdaten!C91</f>
        <v>20663.49999</v>
      </c>
      <c r="W91" s="15">
        <f t="shared" si="19"/>
        <v>0.21121883191542237</v>
      </c>
      <c r="Y91" s="24">
        <f t="shared" si="20"/>
        <v>569</v>
      </c>
      <c r="Z91" s="15">
        <f t="shared" si="21"/>
        <v>12349365703564.463</v>
      </c>
      <c r="AA91" s="15">
        <f t="shared" si="22"/>
        <v>12397753821101.652</v>
      </c>
    </row>
    <row r="92" spans="1:27" x14ac:dyDescent="0.2">
      <c r="A92" s="15">
        <v>569</v>
      </c>
      <c r="B92" s="21">
        <f>Messdaten!Q92-Messdaten!C92</f>
        <v>25976.681710000001</v>
      </c>
      <c r="C92" s="15">
        <f>(B92-MIN(B:B))/(MAX(B:B)-MIN(B:B))</f>
        <v>0.22156461483974468</v>
      </c>
      <c r="D92" s="15">
        <f t="shared" si="12"/>
        <v>4.3549351810879171E-3</v>
      </c>
      <c r="E92" s="15">
        <v>489</v>
      </c>
      <c r="F92" s="21">
        <f>Messdaten!T92-Messdaten!I92</f>
        <v>248047.40806000002</v>
      </c>
      <c r="G92" s="15">
        <f>(F92-MIN(F:F))/(MAX(F:F)-MIN(F:F))</f>
        <v>0.97109081601436997</v>
      </c>
      <c r="H92" s="15">
        <f t="shared" si="13"/>
        <v>68965.980243445461</v>
      </c>
      <c r="I92" s="15">
        <v>709</v>
      </c>
      <c r="J92" s="21">
        <f>Messdaten!W92-Messdaten!F92</f>
        <v>25736.1201</v>
      </c>
      <c r="K92" s="15">
        <f t="shared" si="14"/>
        <v>0.18131784954548263</v>
      </c>
      <c r="L92" s="15">
        <f t="shared" si="15"/>
        <v>3.998369409636689E-3</v>
      </c>
      <c r="M92" s="15">
        <v>489</v>
      </c>
      <c r="N92" s="21">
        <f>Messdaten!Z92-Messdaten!L92</f>
        <v>3148.5164</v>
      </c>
      <c r="O92" s="15">
        <f t="shared" si="16"/>
        <v>5.0085020206498488E-3</v>
      </c>
      <c r="P92" s="15">
        <f t="shared" si="17"/>
        <v>1144.524670348675</v>
      </c>
      <c r="Q92" s="15">
        <v>569</v>
      </c>
      <c r="R92" s="15">
        <f>Messdaten!AE92-Messdaten!C92</f>
        <v>20356.909309999999</v>
      </c>
      <c r="S92" s="15">
        <f t="shared" si="18"/>
        <v>0.19866670409866993</v>
      </c>
      <c r="U92" s="15">
        <v>569</v>
      </c>
      <c r="V92" s="15">
        <f>Messdaten!AH92-Messdaten!C92</f>
        <v>19644.885320000001</v>
      </c>
      <c r="W92" s="15">
        <f t="shared" si="19"/>
        <v>0.20105187067795594</v>
      </c>
      <c r="Y92" s="23">
        <f t="shared" si="20"/>
        <v>570</v>
      </c>
      <c r="Z92" s="15">
        <f t="shared" si="21"/>
        <v>12446141938638.844</v>
      </c>
      <c r="AA92" s="15">
        <f t="shared" si="22"/>
        <v>12612018314554.465</v>
      </c>
    </row>
    <row r="93" spans="1:27" x14ac:dyDescent="0.2">
      <c r="A93" s="15">
        <v>570</v>
      </c>
      <c r="B93" s="21">
        <f>Messdaten!Q93-Messdaten!C93</f>
        <v>24872.12614</v>
      </c>
      <c r="C93" s="15">
        <f>(B93-MIN(B:B))/(MAX(B:B)-MIN(B:B))</f>
        <v>0.21242059916336464</v>
      </c>
      <c r="D93" s="15">
        <f t="shared" si="12"/>
        <v>4.1697588000181264E-3</v>
      </c>
      <c r="E93" s="15">
        <v>490</v>
      </c>
      <c r="F93" s="21">
        <f>Messdaten!T93-Messdaten!I93</f>
        <v>251291.74065000002</v>
      </c>
      <c r="G93" s="15">
        <f>(F93-MIN(F:F))/(MAX(F:F)-MIN(F:F))</f>
        <v>0.98391135416662001</v>
      </c>
      <c r="H93" s="15">
        <f t="shared" si="13"/>
        <v>69868.019813441628</v>
      </c>
      <c r="I93" s="15">
        <v>710</v>
      </c>
      <c r="J93" s="21">
        <f>Messdaten!W93-Messdaten!F93</f>
        <v>24508.010039999997</v>
      </c>
      <c r="K93" s="15">
        <f t="shared" si="14"/>
        <v>0.17225807465303911</v>
      </c>
      <c r="L93" s="15">
        <f t="shared" si="15"/>
        <v>3.8075699543772662E-3</v>
      </c>
      <c r="M93" s="15">
        <v>490</v>
      </c>
      <c r="N93" s="21">
        <f>Messdaten!Z93-Messdaten!L93</f>
        <v>2957.9758699999998</v>
      </c>
      <c r="O93" s="15">
        <f t="shared" si="16"/>
        <v>4.7315664532091824E-3</v>
      </c>
      <c r="P93" s="15">
        <f t="shared" si="17"/>
        <v>1075.260829993163</v>
      </c>
      <c r="Q93" s="15">
        <v>570</v>
      </c>
      <c r="R93" s="15">
        <f>Messdaten!AE93-Messdaten!C93</f>
        <v>19567.063289999998</v>
      </c>
      <c r="S93" s="15">
        <f t="shared" si="18"/>
        <v>0.19101245185735138</v>
      </c>
      <c r="U93" s="15">
        <v>570</v>
      </c>
      <c r="V93" s="15">
        <f>Messdaten!AH93-Messdaten!C93</f>
        <v>18781.472829999999</v>
      </c>
      <c r="W93" s="15">
        <f t="shared" si="19"/>
        <v>0.19243400802948807</v>
      </c>
      <c r="Y93" s="24">
        <f t="shared" si="20"/>
        <v>571</v>
      </c>
      <c r="Z93" s="15">
        <f t="shared" si="21"/>
        <v>12777894690470.086</v>
      </c>
      <c r="AA93" s="15">
        <f t="shared" si="22"/>
        <v>12895597242668.545</v>
      </c>
    </row>
    <row r="94" spans="1:27" x14ac:dyDescent="0.2">
      <c r="A94" s="15">
        <v>571</v>
      </c>
      <c r="B94" s="21">
        <f>Messdaten!Q94-Messdaten!C94</f>
        <v>24156.54422</v>
      </c>
      <c r="C94" s="15">
        <f>(B94-MIN(B:B))/(MAX(B:B)-MIN(B:B))</f>
        <v>0.20649668508250577</v>
      </c>
      <c r="D94" s="15">
        <f t="shared" si="12"/>
        <v>4.049793020202655E-3</v>
      </c>
      <c r="E94" s="15">
        <v>491</v>
      </c>
      <c r="F94" s="21">
        <f>Messdaten!T94-Messdaten!I94</f>
        <v>255363.09221</v>
      </c>
      <c r="G94" s="15">
        <f>(F94-MIN(F:F))/(MAX(F:F)-MIN(F:F))</f>
        <v>1</v>
      </c>
      <c r="H94" s="15">
        <f t="shared" si="13"/>
        <v>71000</v>
      </c>
      <c r="I94" s="15">
        <v>711</v>
      </c>
      <c r="J94" s="21">
        <f>Messdaten!W94-Messdaten!F94</f>
        <v>25702.61405</v>
      </c>
      <c r="K94" s="15">
        <f t="shared" si="14"/>
        <v>0.18107067522420484</v>
      </c>
      <c r="L94" s="15">
        <f t="shared" si="15"/>
        <v>3.993163902169472E-3</v>
      </c>
      <c r="M94" s="15">
        <v>491</v>
      </c>
      <c r="N94" s="21">
        <f>Messdaten!Z94-Messdaten!L94</f>
        <v>3636.0769699999996</v>
      </c>
      <c r="O94" s="15">
        <f t="shared" si="16"/>
        <v>5.7171326889630123E-3</v>
      </c>
      <c r="P94" s="15">
        <f t="shared" si="17"/>
        <v>1321.7589704953289</v>
      </c>
      <c r="Q94" s="15">
        <v>571</v>
      </c>
      <c r="R94" s="15">
        <f>Messdaten!AE94-Messdaten!C94</f>
        <v>18686.202099999999</v>
      </c>
      <c r="S94" s="15">
        <f t="shared" si="18"/>
        <v>0.18247618837418791</v>
      </c>
      <c r="U94" s="15">
        <v>571</v>
      </c>
      <c r="V94" s="15">
        <f>Messdaten!AH94-Messdaten!C94</f>
        <v>18168.720249999998</v>
      </c>
      <c r="W94" s="15">
        <f t="shared" si="19"/>
        <v>0.18631802333724171</v>
      </c>
      <c r="Y94" s="23">
        <f t="shared" si="20"/>
        <v>572</v>
      </c>
      <c r="Z94" s="15">
        <f t="shared" si="21"/>
        <v>13013299794867.004</v>
      </c>
      <c r="AA94" s="15">
        <f t="shared" si="22"/>
        <v>13070990952740.016</v>
      </c>
    </row>
    <row r="95" spans="1:27" x14ac:dyDescent="0.2">
      <c r="A95" s="15">
        <v>572</v>
      </c>
      <c r="B95" s="21">
        <f>Messdaten!Q95-Messdaten!C95</f>
        <v>23575.265809999997</v>
      </c>
      <c r="C95" s="15">
        <f>(B95-MIN(B:B))/(MAX(B:B)-MIN(B:B))</f>
        <v>0.20168459682027257</v>
      </c>
      <c r="D95" s="15">
        <f t="shared" si="12"/>
        <v>3.9523429368557373E-3</v>
      </c>
      <c r="E95" s="15">
        <v>492</v>
      </c>
      <c r="F95" s="21">
        <f>Messdaten!T95-Messdaten!I95</f>
        <v>253063.57801</v>
      </c>
      <c r="G95" s="15">
        <f>(F95-MIN(F:F))/(MAX(F:F)-MIN(F:F))</f>
        <v>0.99091307419479435</v>
      </c>
      <c r="H95" s="15">
        <f t="shared" si="13"/>
        <v>70360.653464887801</v>
      </c>
      <c r="I95" s="15">
        <v>712</v>
      </c>
      <c r="J95" s="21">
        <f>Messdaten!W95-Messdaten!F95</f>
        <v>24487.340030000003</v>
      </c>
      <c r="K95" s="15">
        <f t="shared" si="14"/>
        <v>0.1721055918717935</v>
      </c>
      <c r="L95" s="15">
        <f t="shared" si="15"/>
        <v>3.8043586569726949E-3</v>
      </c>
      <c r="M95" s="15">
        <v>492</v>
      </c>
      <c r="N95" s="21">
        <f>Messdaten!Z95-Messdaten!L95</f>
        <v>3512.8615600000003</v>
      </c>
      <c r="O95" s="15">
        <f t="shared" si="16"/>
        <v>5.5380488505492953E-3</v>
      </c>
      <c r="P95" s="15">
        <f t="shared" si="17"/>
        <v>1276.9686443238895</v>
      </c>
      <c r="Q95" s="15">
        <v>572</v>
      </c>
      <c r="R95" s="15">
        <f>Messdaten!AE95-Messdaten!C95</f>
        <v>18250.922889999998</v>
      </c>
      <c r="S95" s="15">
        <f t="shared" si="18"/>
        <v>0.17825797775543734</v>
      </c>
      <c r="U95" s="15">
        <v>572</v>
      </c>
      <c r="V95" s="15">
        <f>Messdaten!AH95-Messdaten!C95</f>
        <v>17492.276879999998</v>
      </c>
      <c r="W95" s="15">
        <f t="shared" si="19"/>
        <v>0.17956633035197261</v>
      </c>
      <c r="Y95" s="24">
        <f t="shared" si="20"/>
        <v>573</v>
      </c>
      <c r="Z95" s="15">
        <f t="shared" si="21"/>
        <v>13128682110613.027</v>
      </c>
      <c r="AA95" s="15">
        <f t="shared" si="22"/>
        <v>13291031487956.949</v>
      </c>
    </row>
    <row r="96" spans="1:27" x14ac:dyDescent="0.2">
      <c r="A96" s="15">
        <v>573</v>
      </c>
      <c r="B96" s="21">
        <f>Messdaten!Q96-Messdaten!C96</f>
        <v>22360.89345</v>
      </c>
      <c r="C96" s="15">
        <f>(B96-MIN(B:B))/(MAX(B:B)-MIN(B:B))</f>
        <v>0.19163146758133115</v>
      </c>
      <c r="D96" s="15">
        <f t="shared" si="12"/>
        <v>3.7487560056015858E-3</v>
      </c>
      <c r="E96" s="15">
        <v>493</v>
      </c>
      <c r="F96" s="21">
        <f>Messdaten!T96-Messdaten!I96</f>
        <v>249585.42225</v>
      </c>
      <c r="G96" s="15">
        <f>(F96-MIN(F:F))/(MAX(F:F)-MIN(F:F))</f>
        <v>0.97716854357607996</v>
      </c>
      <c r="H96" s="15">
        <f t="shared" si="13"/>
        <v>69393.602757509463</v>
      </c>
      <c r="I96" s="15">
        <v>713</v>
      </c>
      <c r="J96" s="21">
        <f>Messdaten!W96-Messdaten!F96</f>
        <v>24313.232960000001</v>
      </c>
      <c r="K96" s="15">
        <f t="shared" si="14"/>
        <v>0.1708212030268858</v>
      </c>
      <c r="L96" s="15">
        <f t="shared" si="15"/>
        <v>3.7773093434015528E-3</v>
      </c>
      <c r="M96" s="15">
        <v>493</v>
      </c>
      <c r="N96" s="21">
        <f>Messdaten!Z96-Messdaten!L96</f>
        <v>3779.4701100000002</v>
      </c>
      <c r="O96" s="15">
        <f t="shared" si="16"/>
        <v>5.9255432596326705E-3</v>
      </c>
      <c r="P96" s="15">
        <f t="shared" si="17"/>
        <v>1373.884151195916</v>
      </c>
      <c r="Q96" s="15">
        <v>573</v>
      </c>
      <c r="R96" s="15">
        <f>Messdaten!AE96-Messdaten!C96</f>
        <v>17426.512790000001</v>
      </c>
      <c r="S96" s="15">
        <f t="shared" si="18"/>
        <v>0.17026877138368071</v>
      </c>
      <c r="U96" s="15">
        <v>573</v>
      </c>
      <c r="V96" s="15">
        <f>Messdaten!AH96-Messdaten!C96</f>
        <v>16626.636930000001</v>
      </c>
      <c r="W96" s="15">
        <f t="shared" si="19"/>
        <v>0.17092623505739732</v>
      </c>
      <c r="Y96" s="23">
        <f t="shared" si="20"/>
        <v>574</v>
      </c>
      <c r="Z96" s="15">
        <f t="shared" si="21"/>
        <v>13453380865300.869</v>
      </c>
      <c r="AA96" s="15">
        <f t="shared" si="22"/>
        <v>13493410152003.238</v>
      </c>
    </row>
    <row r="97" spans="1:27" x14ac:dyDescent="0.2">
      <c r="A97" s="15">
        <v>574</v>
      </c>
      <c r="B97" s="21">
        <f>Messdaten!Q97-Messdaten!C97</f>
        <v>21429.767359999998</v>
      </c>
      <c r="C97" s="15">
        <f>(B97-MIN(B:B))/(MAX(B:B)-MIN(B:B))</f>
        <v>0.18392318037976788</v>
      </c>
      <c r="D97" s="15">
        <f t="shared" si="12"/>
        <v>3.592654706265542E-3</v>
      </c>
      <c r="E97" s="15">
        <v>494</v>
      </c>
      <c r="F97" s="21">
        <f>Messdaten!T97-Messdaten!I97</f>
        <v>245804.85045</v>
      </c>
      <c r="G97" s="15">
        <f>(F97-MIN(F:F))/(MAX(F:F)-MIN(F:F))</f>
        <v>0.96222896396928614</v>
      </c>
      <c r="H97" s="15">
        <f t="shared" si="13"/>
        <v>68342.469661191601</v>
      </c>
      <c r="I97" s="15">
        <v>714</v>
      </c>
      <c r="J97" s="21">
        <f>Messdaten!W97-Messdaten!F97</f>
        <v>24553.524129999998</v>
      </c>
      <c r="K97" s="15">
        <f t="shared" si="14"/>
        <v>0.17259383235364326</v>
      </c>
      <c r="L97" s="15">
        <f t="shared" si="15"/>
        <v>3.8146410336408203E-3</v>
      </c>
      <c r="M97" s="15">
        <v>494</v>
      </c>
      <c r="N97" s="21">
        <f>Messdaten!Z97-Messdaten!L97</f>
        <v>3713.0791800000002</v>
      </c>
      <c r="O97" s="15">
        <f t="shared" si="16"/>
        <v>5.8290493017725577E-3</v>
      </c>
      <c r="P97" s="15">
        <f t="shared" si="17"/>
        <v>1349.7502266362751</v>
      </c>
      <c r="Q97" s="15">
        <v>574</v>
      </c>
      <c r="R97" s="15">
        <f>Messdaten!AE97-Messdaten!C97</f>
        <v>16514.123809999997</v>
      </c>
      <c r="S97" s="15">
        <f t="shared" si="18"/>
        <v>0.16142697789699662</v>
      </c>
      <c r="U97" s="15">
        <v>574</v>
      </c>
      <c r="V97" s="15">
        <f>Messdaten!AH97-Messdaten!C97</f>
        <v>16286.499449999999</v>
      </c>
      <c r="W97" s="15">
        <f t="shared" si="19"/>
        <v>0.16753126669848931</v>
      </c>
      <c r="Y97" s="24">
        <f t="shared" si="20"/>
        <v>575</v>
      </c>
      <c r="Z97" s="15">
        <f t="shared" si="21"/>
        <v>13533439438705.607</v>
      </c>
      <c r="AA97" s="15">
        <f t="shared" si="22"/>
        <v>13519210579853.277</v>
      </c>
    </row>
    <row r="98" spans="1:27" x14ac:dyDescent="0.2">
      <c r="A98" s="15">
        <v>575</v>
      </c>
      <c r="B98" s="21">
        <f>Messdaten!Q98-Messdaten!C98</f>
        <v>20752.47712</v>
      </c>
      <c r="C98" s="15">
        <f>(B98-MIN(B:B))/(MAX(B:B)-MIN(B:B))</f>
        <v>0.17831626232129555</v>
      </c>
      <c r="D98" s="15">
        <f t="shared" si="12"/>
        <v>3.4791084447794952E-3</v>
      </c>
      <c r="E98" s="15">
        <v>495</v>
      </c>
      <c r="F98" s="21">
        <f>Messdaten!T98-Messdaten!I98</f>
        <v>239215.10570000001</v>
      </c>
      <c r="G98" s="15">
        <f>(F98-MIN(F:F))/(MAX(F:F)-MIN(F:F))</f>
        <v>0.93618845436143361</v>
      </c>
      <c r="H98" s="15">
        <f t="shared" si="13"/>
        <v>66510.28681440324</v>
      </c>
      <c r="I98" s="15">
        <v>715</v>
      </c>
      <c r="J98" s="21">
        <f>Messdaten!W98-Messdaten!F98</f>
        <v>24062.146890000004</v>
      </c>
      <c r="K98" s="15">
        <f t="shared" si="14"/>
        <v>0.16896893966147675</v>
      </c>
      <c r="L98" s="15">
        <f t="shared" si="15"/>
        <v>3.7383005550693173E-3</v>
      </c>
      <c r="M98" s="15">
        <v>495</v>
      </c>
      <c r="N98" s="21">
        <f>Messdaten!Z98-Messdaten!L98</f>
        <v>4195.3148799999999</v>
      </c>
      <c r="O98" s="15">
        <f t="shared" si="16"/>
        <v>6.529940693329234E-3</v>
      </c>
      <c r="P98" s="15">
        <f t="shared" si="17"/>
        <v>1525.048870649329</v>
      </c>
      <c r="Q98" s="15">
        <v>575</v>
      </c>
      <c r="R98" s="15">
        <f>Messdaten!AE98-Messdaten!C98</f>
        <v>15870.403350000001</v>
      </c>
      <c r="S98" s="15">
        <f t="shared" si="18"/>
        <v>0.15518880153226974</v>
      </c>
      <c r="U98" s="15">
        <v>575</v>
      </c>
      <c r="V98" s="15">
        <f>Messdaten!AH98-Messdaten!C98</f>
        <v>15284.723900000001</v>
      </c>
      <c r="W98" s="15">
        <f t="shared" si="19"/>
        <v>0.15753237949859103</v>
      </c>
      <c r="Y98" s="23">
        <f t="shared" si="20"/>
        <v>576</v>
      </c>
      <c r="Z98" s="15">
        <f t="shared" si="21"/>
        <v>13504981721000.947</v>
      </c>
      <c r="AA98" s="15">
        <f t="shared" si="22"/>
        <v>13601859973478.473</v>
      </c>
    </row>
    <row r="99" spans="1:27" x14ac:dyDescent="0.2">
      <c r="A99" s="15">
        <v>576</v>
      </c>
      <c r="B99" s="21">
        <f>Messdaten!Q99-Messdaten!C99</f>
        <v>19853.704700000002</v>
      </c>
      <c r="C99" s="15">
        <f>(B99-MIN(B:B))/(MAX(B:B)-MIN(B:B))</f>
        <v>0.17087581358228102</v>
      </c>
      <c r="D99" s="15">
        <f t="shared" si="12"/>
        <v>3.3284311690848578E-3</v>
      </c>
      <c r="E99" s="15">
        <v>496</v>
      </c>
      <c r="F99" s="21">
        <f>Messdaten!T99-Messdaten!I99</f>
        <v>232592.58877999999</v>
      </c>
      <c r="G99" s="15">
        <f>(F99-MIN(F:F))/(MAX(F:F)-MIN(F:F))</f>
        <v>0.91001843988804643</v>
      </c>
      <c r="H99" s="15">
        <f t="shared" si="13"/>
        <v>64668.992141587602</v>
      </c>
      <c r="I99" s="15">
        <v>716</v>
      </c>
      <c r="J99" s="21">
        <f>Messdaten!W99-Messdaten!F99</f>
        <v>23517.37239</v>
      </c>
      <c r="K99" s="15">
        <f t="shared" si="14"/>
        <v>0.16495013507881295</v>
      </c>
      <c r="L99" s="15">
        <f t="shared" si="15"/>
        <v>3.6536642661692616E-3</v>
      </c>
      <c r="M99" s="15">
        <v>496</v>
      </c>
      <c r="N99" s="21">
        <f>Messdaten!Z99-Messdaten!L99</f>
        <v>3996.2080900000001</v>
      </c>
      <c r="O99" s="15">
        <f t="shared" si="16"/>
        <v>6.2405547455209676E-3</v>
      </c>
      <c r="P99" s="15">
        <f t="shared" si="17"/>
        <v>1452.671088787074</v>
      </c>
      <c r="Q99" s="15">
        <v>576</v>
      </c>
      <c r="R99" s="15">
        <f>Messdaten!AE99-Messdaten!C99</f>
        <v>15523.18773</v>
      </c>
      <c r="S99" s="15">
        <f t="shared" si="18"/>
        <v>0.1518239989374478</v>
      </c>
      <c r="U99" s="15">
        <v>576</v>
      </c>
      <c r="V99" s="15">
        <f>Messdaten!AH99-Messdaten!C99</f>
        <v>14952.282519999999</v>
      </c>
      <c r="W99" s="15">
        <f t="shared" si="19"/>
        <v>0.15421422718473335</v>
      </c>
      <c r="Y99" s="24">
        <f t="shared" si="20"/>
        <v>577</v>
      </c>
      <c r="Z99" s="15">
        <f t="shared" si="21"/>
        <v>13698738225955.996</v>
      </c>
      <c r="AA99" s="15">
        <f t="shared" si="22"/>
        <v>13680600979760.328</v>
      </c>
    </row>
    <row r="100" spans="1:27" x14ac:dyDescent="0.2">
      <c r="A100" s="15">
        <v>577</v>
      </c>
      <c r="B100" s="21">
        <f>Messdaten!Q100-Messdaten!C100</f>
        <v>19126.60082</v>
      </c>
      <c r="C100" s="15">
        <f>(B100-MIN(B:B))/(MAX(B:B)-MIN(B:B))</f>
        <v>0.16485651545219529</v>
      </c>
      <c r="D100" s="15">
        <f t="shared" si="12"/>
        <v>3.2065337572957852E-3</v>
      </c>
      <c r="E100" s="15">
        <v>497</v>
      </c>
      <c r="F100" s="21">
        <f>Messdaten!T100-Messdaten!I100</f>
        <v>223089.46561999997</v>
      </c>
      <c r="G100" s="15">
        <f>(F100-MIN(F:F))/(MAX(F:F)-MIN(F:F))</f>
        <v>0.87246521448389303</v>
      </c>
      <c r="H100" s="15">
        <f t="shared" si="13"/>
        <v>62026.786729205065</v>
      </c>
      <c r="I100" s="15">
        <v>717</v>
      </c>
      <c r="J100" s="21">
        <f>Messdaten!W100-Messdaten!F100</f>
        <v>23960.84953</v>
      </c>
      <c r="K100" s="15">
        <f t="shared" si="14"/>
        <v>0.16822166846104472</v>
      </c>
      <c r="L100" s="15">
        <f t="shared" si="15"/>
        <v>3.7225629744267333E-3</v>
      </c>
      <c r="M100" s="15">
        <v>497</v>
      </c>
      <c r="N100" s="21">
        <f>Messdaten!Z100-Messdaten!L100</f>
        <v>5026.5248099999999</v>
      </c>
      <c r="O100" s="15">
        <f t="shared" si="16"/>
        <v>7.7380384855777707E-3</v>
      </c>
      <c r="P100" s="15">
        <f t="shared" si="17"/>
        <v>1827.2039653865822</v>
      </c>
      <c r="Q100" s="15">
        <v>577</v>
      </c>
      <c r="R100" s="15">
        <f>Messdaten!AE100-Messdaten!C100</f>
        <v>14842.697679999999</v>
      </c>
      <c r="S100" s="15">
        <f t="shared" si="18"/>
        <v>0.14522949525126416</v>
      </c>
      <c r="U100" s="15">
        <v>577</v>
      </c>
      <c r="V100" s="15">
        <f>Messdaten!AH100-Messdaten!C100</f>
        <v>14269.599459999999</v>
      </c>
      <c r="W100" s="15">
        <f t="shared" si="19"/>
        <v>0.14740025482313857</v>
      </c>
      <c r="Y100" s="23">
        <f t="shared" si="20"/>
        <v>578</v>
      </c>
      <c r="Z100" s="15">
        <f t="shared" si="21"/>
        <v>13662463733564.662</v>
      </c>
      <c r="AA100" s="15">
        <f t="shared" si="22"/>
        <v>13893342774379.547</v>
      </c>
    </row>
    <row r="101" spans="1:27" x14ac:dyDescent="0.2">
      <c r="A101" s="15">
        <v>578</v>
      </c>
      <c r="B101" s="21">
        <f>Messdaten!Q101-Messdaten!C101</f>
        <v>18137.228350000001</v>
      </c>
      <c r="C101" s="15">
        <f>(B101-MIN(B:B))/(MAX(B:B)-MIN(B:B))</f>
        <v>0.1566660381044066</v>
      </c>
      <c r="D101" s="15">
        <f t="shared" si="12"/>
        <v>3.0406675768149972E-3</v>
      </c>
      <c r="E101" s="15">
        <v>498</v>
      </c>
      <c r="F101" s="21">
        <f>Messdaten!T101-Messdaten!I101</f>
        <v>214256.29087</v>
      </c>
      <c r="G101" s="15">
        <f>(F101-MIN(F:F))/(MAX(F:F)-MIN(F:F))</f>
        <v>0.83755940543184815</v>
      </c>
      <c r="H101" s="15">
        <f t="shared" si="13"/>
        <v>59570.850744790172</v>
      </c>
      <c r="I101" s="15">
        <v>718</v>
      </c>
      <c r="J101" s="21">
        <f>Messdaten!W101-Messdaten!F101</f>
        <v>24619.269399999997</v>
      </c>
      <c r="K101" s="15">
        <f t="shared" si="14"/>
        <v>0.17307883558408899</v>
      </c>
      <c r="L101" s="15">
        <f t="shared" si="15"/>
        <v>3.8248552335814054E-3</v>
      </c>
      <c r="M101" s="15">
        <v>498</v>
      </c>
      <c r="N101" s="21">
        <f>Messdaten!Z101-Messdaten!L101</f>
        <v>4985.94308</v>
      </c>
      <c r="O101" s="15">
        <f t="shared" si="16"/>
        <v>7.6790561555439779E-3</v>
      </c>
      <c r="P101" s="15">
        <f t="shared" si="17"/>
        <v>1812.4520043834798</v>
      </c>
      <c r="Q101" s="15">
        <v>578</v>
      </c>
      <c r="R101" s="15">
        <f>Messdaten!AE101-Messdaten!C101</f>
        <v>14169.900180000001</v>
      </c>
      <c r="S101" s="15">
        <f t="shared" si="18"/>
        <v>0.13870953864968691</v>
      </c>
      <c r="U101" s="15">
        <v>578</v>
      </c>
      <c r="V101" s="15">
        <f>Messdaten!AH101-Messdaten!C101</f>
        <v>13619.073969999999</v>
      </c>
      <c r="W101" s="15">
        <f t="shared" si="19"/>
        <v>0.1409072524782834</v>
      </c>
      <c r="Y101" s="24">
        <f t="shared" si="20"/>
        <v>579</v>
      </c>
      <c r="Z101" s="15">
        <f t="shared" si="21"/>
        <v>14124221815194.432</v>
      </c>
      <c r="AA101" s="15">
        <f t="shared" si="22"/>
        <v>14178338101764.705</v>
      </c>
    </row>
    <row r="102" spans="1:27" x14ac:dyDescent="0.2">
      <c r="A102" s="15">
        <v>579</v>
      </c>
      <c r="B102" s="21">
        <f>Messdaten!Q102-Messdaten!C102</f>
        <v>18069.006830000002</v>
      </c>
      <c r="C102" s="15">
        <f>(B102-MIN(B:B))/(MAX(B:B)-MIN(B:B))</f>
        <v>0.15610126919165151</v>
      </c>
      <c r="D102" s="15">
        <f t="shared" si="12"/>
        <v>3.02923038476437E-3</v>
      </c>
      <c r="E102" s="15">
        <v>499</v>
      </c>
      <c r="F102" s="21">
        <f>Messdaten!T102-Messdaten!I102</f>
        <v>203526.15923999998</v>
      </c>
      <c r="G102" s="15">
        <f>(F102-MIN(F:F))/(MAX(F:F)-MIN(F:F))</f>
        <v>0.79515744505173813</v>
      </c>
      <c r="H102" s="15">
        <f t="shared" si="13"/>
        <v>56587.493443087791</v>
      </c>
      <c r="I102" s="15">
        <v>719</v>
      </c>
      <c r="J102" s="21">
        <f>Messdaten!W102-Messdaten!F102</f>
        <v>23677.546119999999</v>
      </c>
      <c r="K102" s="15">
        <f t="shared" si="14"/>
        <v>0.1661317375953521</v>
      </c>
      <c r="L102" s="15">
        <f t="shared" si="15"/>
        <v>3.6785488929028535E-3</v>
      </c>
      <c r="M102" s="15">
        <v>499</v>
      </c>
      <c r="N102" s="21">
        <f>Messdaten!Z102-Messdaten!L102</f>
        <v>5220.81988</v>
      </c>
      <c r="O102" s="15">
        <f t="shared" si="16"/>
        <v>8.0204309795074043E-3</v>
      </c>
      <c r="P102" s="15">
        <f t="shared" si="17"/>
        <v>1897.8326274898266</v>
      </c>
      <c r="Q102" s="15">
        <v>579</v>
      </c>
      <c r="R102" s="15">
        <f>Messdaten!AE102-Messdaten!C102</f>
        <v>13393.92592</v>
      </c>
      <c r="S102" s="15">
        <f t="shared" si="18"/>
        <v>0.131189715078492</v>
      </c>
      <c r="U102" s="15">
        <v>579</v>
      </c>
      <c r="V102" s="15">
        <f>Messdaten!AH102-Messdaten!C102</f>
        <v>13168.130800000001</v>
      </c>
      <c r="W102" s="15">
        <f t="shared" si="19"/>
        <v>0.13640631422879773</v>
      </c>
      <c r="Y102" s="23">
        <f t="shared" si="20"/>
        <v>580</v>
      </c>
      <c r="Z102" s="15">
        <f t="shared" si="21"/>
        <v>14232454388334.979</v>
      </c>
      <c r="AA102" s="15">
        <f t="shared" si="22"/>
        <v>14195385587460.789</v>
      </c>
    </row>
    <row r="103" spans="1:27" x14ac:dyDescent="0.2">
      <c r="A103" s="15">
        <v>580</v>
      </c>
      <c r="B103" s="21">
        <f>Messdaten!Q103-Messdaten!C103</f>
        <v>16993.16619</v>
      </c>
      <c r="C103" s="15">
        <f>(B103-MIN(B:B))/(MAX(B:B)-MIN(B:B))</f>
        <v>0.14719496882557148</v>
      </c>
      <c r="D103" s="15">
        <f t="shared" si="12"/>
        <v>2.8488680003503309E-3</v>
      </c>
      <c r="E103" s="15">
        <v>500</v>
      </c>
      <c r="F103" s="21">
        <f>Messdaten!T103-Messdaten!I103</f>
        <v>190883.99702000001</v>
      </c>
      <c r="G103" s="15">
        <f>(F103-MIN(F:F))/(MAX(F:F)-MIN(F:F))</f>
        <v>0.74519976698629553</v>
      </c>
      <c r="H103" s="15">
        <f t="shared" si="13"/>
        <v>53072.523797897826</v>
      </c>
      <c r="I103" s="15">
        <v>720</v>
      </c>
      <c r="J103" s="21">
        <f>Messdaten!W103-Messdaten!F103</f>
        <v>23919.380560000001</v>
      </c>
      <c r="K103" s="15">
        <f t="shared" si="14"/>
        <v>0.16791575163367059</v>
      </c>
      <c r="L103" s="15">
        <f t="shared" si="15"/>
        <v>3.7161203459165747E-3</v>
      </c>
      <c r="M103" s="15">
        <v>500</v>
      </c>
      <c r="N103" s="21">
        <f>Messdaten!Z103-Messdaten!L103</f>
        <v>4969.35473</v>
      </c>
      <c r="O103" s="15">
        <f t="shared" si="16"/>
        <v>7.6549463027995026E-3</v>
      </c>
      <c r="P103" s="15">
        <f t="shared" si="17"/>
        <v>1806.4219338984162</v>
      </c>
      <c r="Q103" s="15">
        <v>580</v>
      </c>
      <c r="R103" s="15">
        <f>Messdaten!AE103-Messdaten!C103</f>
        <v>13121.81453</v>
      </c>
      <c r="S103" s="15">
        <f t="shared" si="18"/>
        <v>0.12855273373775447</v>
      </c>
      <c r="U103" s="15">
        <v>580</v>
      </c>
      <c r="V103" s="15">
        <f>Messdaten!AH103-Messdaten!C103</f>
        <v>12375.42137</v>
      </c>
      <c r="W103" s="15">
        <f t="shared" si="19"/>
        <v>0.12849415049824384</v>
      </c>
      <c r="Y103" s="24">
        <f t="shared" si="20"/>
        <v>581</v>
      </c>
      <c r="Z103" s="15">
        <f t="shared" si="21"/>
        <v>14158316786586.6</v>
      </c>
      <c r="AA103" s="15">
        <f t="shared" si="22"/>
        <v>14258683428932.688</v>
      </c>
    </row>
    <row r="104" spans="1:27" x14ac:dyDescent="0.2">
      <c r="A104" s="15">
        <v>581</v>
      </c>
      <c r="B104" s="21">
        <f>Messdaten!Q104-Messdaten!C104</f>
        <v>16142.342259999999</v>
      </c>
      <c r="C104" s="15">
        <f>(B104-MIN(B:B))/(MAX(B:B)-MIN(B:B))</f>
        <v>0.14015145959428918</v>
      </c>
      <c r="D104" s="15">
        <f t="shared" si="12"/>
        <v>2.7062291865467152E-3</v>
      </c>
      <c r="E104" s="15">
        <v>501</v>
      </c>
      <c r="F104" s="21">
        <f>Messdaten!T104-Messdaten!I104</f>
        <v>177554.14049000002</v>
      </c>
      <c r="G104" s="15">
        <f>(F104-MIN(F:F))/(MAX(F:F)-MIN(F:F))</f>
        <v>0.69252454659315954</v>
      </c>
      <c r="H104" s="15">
        <f t="shared" si="13"/>
        <v>49366.350734909909</v>
      </c>
      <c r="I104" s="15">
        <v>721</v>
      </c>
      <c r="J104" s="21">
        <f>Messdaten!W104-Messdaten!F104</f>
        <v>23332.36246</v>
      </c>
      <c r="K104" s="15">
        <f t="shared" si="14"/>
        <v>0.16358531577372012</v>
      </c>
      <c r="L104" s="15">
        <f t="shared" si="15"/>
        <v>3.62492108181526E-3</v>
      </c>
      <c r="M104" s="15">
        <v>501</v>
      </c>
      <c r="N104" s="21">
        <f>Messdaten!Z104-Messdaten!L104</f>
        <v>5142.8213499999993</v>
      </c>
      <c r="O104" s="15">
        <f t="shared" si="16"/>
        <v>7.9070662944974064E-3</v>
      </c>
      <c r="P104" s="15">
        <f t="shared" si="17"/>
        <v>1869.4791967006674</v>
      </c>
      <c r="Q104" s="15">
        <v>581</v>
      </c>
      <c r="R104" s="15">
        <f>Messdaten!AE104-Messdaten!C104</f>
        <v>12452.502129999999</v>
      </c>
      <c r="S104" s="15">
        <f t="shared" si="18"/>
        <v>0.1220665505981062</v>
      </c>
      <c r="U104" s="15">
        <v>581</v>
      </c>
      <c r="V104" s="15">
        <f>Messdaten!AH104-Messdaten!C104</f>
        <v>12115.537979999999</v>
      </c>
      <c r="W104" s="15">
        <f t="shared" si="19"/>
        <v>0.1259002114649572</v>
      </c>
      <c r="Y104" s="23">
        <f t="shared" si="20"/>
        <v>582</v>
      </c>
      <c r="Z104" s="15">
        <f t="shared" si="21"/>
        <v>14359050071278.777</v>
      </c>
      <c r="AA104" s="15">
        <f t="shared" si="22"/>
        <v>14487113511028.832</v>
      </c>
    </row>
    <row r="105" spans="1:27" x14ac:dyDescent="0.2">
      <c r="A105" s="15">
        <v>582</v>
      </c>
      <c r="B105" s="21">
        <f>Messdaten!Q105-Messdaten!C105</f>
        <v>15502.32598</v>
      </c>
      <c r="C105" s="15">
        <f>(B105-MIN(B:B))/(MAX(B:B)-MIN(B:B))</f>
        <v>0.13485311240705039</v>
      </c>
      <c r="D105" s="15">
        <f t="shared" si="12"/>
        <v>2.5989318248067807E-3</v>
      </c>
      <c r="E105" s="15">
        <v>502</v>
      </c>
      <c r="F105" s="21">
        <f>Messdaten!T105-Messdaten!I105</f>
        <v>165370.10604000001</v>
      </c>
      <c r="G105" s="15">
        <f>(F105-MIN(F:F))/(MAX(F:F)-MIN(F:F))</f>
        <v>0.64437723919439693</v>
      </c>
      <c r="H105" s="15">
        <f t="shared" si="13"/>
        <v>45978.756864302304</v>
      </c>
      <c r="I105" s="15">
        <v>722</v>
      </c>
      <c r="J105" s="21">
        <f>Messdaten!W105-Messdaten!F105</f>
        <v>23151.295569999998</v>
      </c>
      <c r="K105" s="15">
        <f t="shared" si="14"/>
        <v>0.16224958429711708</v>
      </c>
      <c r="L105" s="15">
        <f t="shared" si="15"/>
        <v>3.5967904890428838E-3</v>
      </c>
      <c r="M105" s="15">
        <v>502</v>
      </c>
      <c r="N105" s="21">
        <f>Messdaten!Z105-Messdaten!L105</f>
        <v>5617.4255800000001</v>
      </c>
      <c r="O105" s="15">
        <f t="shared" si="16"/>
        <v>8.5968659489057912E-3</v>
      </c>
      <c r="P105" s="15">
        <f t="shared" si="17"/>
        <v>2042.003706938835</v>
      </c>
      <c r="Q105" s="15">
        <v>582</v>
      </c>
      <c r="R105" s="15">
        <f>Messdaten!AE105-Messdaten!C105</f>
        <v>11982.195169999999</v>
      </c>
      <c r="S105" s="15">
        <f t="shared" si="18"/>
        <v>0.1175088925083842</v>
      </c>
      <c r="U105" s="15">
        <v>582</v>
      </c>
      <c r="V105" s="15">
        <f>Messdaten!AH105-Messdaten!C105</f>
        <v>11604.001099999999</v>
      </c>
      <c r="W105" s="15">
        <f t="shared" si="19"/>
        <v>0.12079447738938716</v>
      </c>
      <c r="Y105" s="24">
        <f t="shared" si="20"/>
        <v>583</v>
      </c>
      <c r="Z105" s="15">
        <f t="shared" si="21"/>
        <v>14615176950778.887</v>
      </c>
      <c r="AA105" s="15">
        <f t="shared" si="22"/>
        <v>14661680558807.139</v>
      </c>
    </row>
    <row r="106" spans="1:27" x14ac:dyDescent="0.2">
      <c r="A106" s="15">
        <v>583</v>
      </c>
      <c r="B106" s="21">
        <f>Messdaten!Q106-Messdaten!C106</f>
        <v>14911.948260000001</v>
      </c>
      <c r="C106" s="15">
        <f>(B106-MIN(B:B))/(MAX(B:B)-MIN(B:B))</f>
        <v>0.12996569589919152</v>
      </c>
      <c r="D106" s="15">
        <f t="shared" si="12"/>
        <v>2.4999562615819863E-3</v>
      </c>
      <c r="E106" s="15">
        <v>503</v>
      </c>
      <c r="F106" s="21">
        <f>Messdaten!T106-Messdaten!I106</f>
        <v>150905.52213</v>
      </c>
      <c r="G106" s="15">
        <f>(F106-MIN(F:F))/(MAX(F:F)-MIN(F:F))</f>
        <v>0.5872179484218758</v>
      </c>
      <c r="H106" s="15">
        <f t="shared" si="13"/>
        <v>41957.089329177652</v>
      </c>
      <c r="I106" s="15">
        <v>723</v>
      </c>
      <c r="J106" s="21">
        <f>Messdaten!W106-Messdaten!F106</f>
        <v>21773.593520000002</v>
      </c>
      <c r="K106" s="15">
        <f t="shared" si="14"/>
        <v>0.15208626844425455</v>
      </c>
      <c r="L106" s="15">
        <f t="shared" si="15"/>
        <v>3.3827503885572735E-3</v>
      </c>
      <c r="M106" s="15">
        <v>503</v>
      </c>
      <c r="N106" s="21">
        <f>Messdaten!Z106-Messdaten!L106</f>
        <v>6039.6706000000004</v>
      </c>
      <c r="O106" s="15">
        <f t="shared" si="16"/>
        <v>9.2105656390068704E-3</v>
      </c>
      <c r="P106" s="15">
        <f t="shared" si="17"/>
        <v>2195.4949964623288</v>
      </c>
      <c r="Q106" s="15">
        <v>583</v>
      </c>
      <c r="R106" s="15">
        <f>Messdaten!AE106-Messdaten!C106</f>
        <v>11537.44752</v>
      </c>
      <c r="S106" s="15">
        <f t="shared" si="18"/>
        <v>0.11319892498226609</v>
      </c>
      <c r="U106" s="15">
        <v>583</v>
      </c>
      <c r="V106" s="15">
        <f>Messdaten!AH106-Messdaten!C106</f>
        <v>11085.711240000001</v>
      </c>
      <c r="W106" s="15">
        <f t="shared" si="19"/>
        <v>0.11562134070523562</v>
      </c>
      <c r="Y106" s="23">
        <f t="shared" si="20"/>
        <v>584</v>
      </c>
      <c r="Z106" s="15">
        <f t="shared" si="21"/>
        <v>14708184166835.391</v>
      </c>
      <c r="AA106" s="15">
        <f t="shared" si="22"/>
        <v>14940756646418.551</v>
      </c>
    </row>
    <row r="107" spans="1:27" x14ac:dyDescent="0.2">
      <c r="A107" s="15">
        <v>584</v>
      </c>
      <c r="B107" s="21">
        <f>Messdaten!Q107-Messdaten!C107</f>
        <v>14381.3177</v>
      </c>
      <c r="C107" s="15">
        <f>(B107-MIN(B:B))/(MAX(B:B)-MIN(B:B))</f>
        <v>0.12557289368009961</v>
      </c>
      <c r="D107" s="15">
        <f t="shared" si="12"/>
        <v>2.4109971820620336E-3</v>
      </c>
      <c r="E107" s="15">
        <v>504</v>
      </c>
      <c r="F107" s="21">
        <f>Messdaten!T107-Messdaten!I107</f>
        <v>138503.69730999999</v>
      </c>
      <c r="G107" s="15">
        <f>(F107-MIN(F:F))/(MAX(F:F)-MIN(F:F))</f>
        <v>0.53821000492298454</v>
      </c>
      <c r="H107" s="15">
        <f t="shared" si="13"/>
        <v>38508.942008436832</v>
      </c>
      <c r="I107" s="15">
        <v>724</v>
      </c>
      <c r="J107" s="21">
        <f>Messdaten!W107-Messdaten!F107</f>
        <v>21617.515229999997</v>
      </c>
      <c r="K107" s="15">
        <f t="shared" si="14"/>
        <v>0.15093487801187133</v>
      </c>
      <c r="L107" s="15">
        <f t="shared" si="15"/>
        <v>3.3585020303035975E-3</v>
      </c>
      <c r="M107" s="15">
        <v>504</v>
      </c>
      <c r="N107" s="21">
        <f>Messdaten!Z107-Messdaten!L107</f>
        <v>6638.6563999999998</v>
      </c>
      <c r="O107" s="15">
        <f t="shared" si="16"/>
        <v>1.008114405301622E-2</v>
      </c>
      <c r="P107" s="15">
        <f t="shared" si="17"/>
        <v>2413.2337464617058</v>
      </c>
      <c r="Q107" s="15">
        <v>584</v>
      </c>
      <c r="R107" s="15">
        <f>Messdaten!AE107-Messdaten!C107</f>
        <v>11196.424499999999</v>
      </c>
      <c r="S107" s="15">
        <f t="shared" si="18"/>
        <v>0.1098941337329841</v>
      </c>
      <c r="U107" s="15">
        <v>584</v>
      </c>
      <c r="V107" s="15">
        <f>Messdaten!AH107-Messdaten!C107</f>
        <v>10660.697399999999</v>
      </c>
      <c r="W107" s="15">
        <f t="shared" si="19"/>
        <v>0.11137920738050471</v>
      </c>
      <c r="Y107" s="24">
        <f t="shared" si="20"/>
        <v>585</v>
      </c>
      <c r="Z107" s="15">
        <f t="shared" si="21"/>
        <v>15173329126001.709</v>
      </c>
      <c r="AA107" s="15">
        <f t="shared" si="22"/>
        <v>15163311636911.129</v>
      </c>
    </row>
    <row r="108" spans="1:27" x14ac:dyDescent="0.2">
      <c r="A108" s="15">
        <v>585</v>
      </c>
      <c r="B108" s="21">
        <f>Messdaten!Q108-Messdaten!C108</f>
        <v>14045.687099999999</v>
      </c>
      <c r="C108" s="15">
        <f>(B108-MIN(B:B))/(MAX(B:B)-MIN(B:B))</f>
        <v>0.12279439022474802</v>
      </c>
      <c r="D108" s="15">
        <f t="shared" si="12"/>
        <v>2.3547294291555118E-3</v>
      </c>
      <c r="E108" s="15">
        <v>505</v>
      </c>
      <c r="F108" s="21">
        <f>Messdaten!T108-Messdaten!I108</f>
        <v>124326.06642</v>
      </c>
      <c r="G108" s="15">
        <f>(F108-MIN(F:F))/(MAX(F:F)-MIN(F:F))</f>
        <v>0.48218465835586116</v>
      </c>
      <c r="H108" s="15">
        <f t="shared" si="13"/>
        <v>34567.05759405873</v>
      </c>
      <c r="I108" s="15">
        <v>725</v>
      </c>
      <c r="J108" s="21">
        <f>Messdaten!W108-Messdaten!F108</f>
        <v>22517.748179999999</v>
      </c>
      <c r="K108" s="15">
        <f t="shared" si="14"/>
        <v>0.1575759016003927</v>
      </c>
      <c r="L108" s="15">
        <f t="shared" si="15"/>
        <v>3.4983624239775845E-3</v>
      </c>
      <c r="M108" s="15">
        <v>505</v>
      </c>
      <c r="N108" s="21">
        <f>Messdaten!Z108-Messdaten!L108</f>
        <v>6754.2706500000004</v>
      </c>
      <c r="O108" s="15">
        <f t="shared" si="16"/>
        <v>1.024918020746576E-2</v>
      </c>
      <c r="P108" s="15">
        <f t="shared" si="17"/>
        <v>2455.2609569183069</v>
      </c>
      <c r="Q108" s="15">
        <v>585</v>
      </c>
      <c r="R108" s="15">
        <f>Messdaten!AE108-Messdaten!C108</f>
        <v>10503.171549999999</v>
      </c>
      <c r="S108" s="15">
        <f t="shared" si="18"/>
        <v>0.10317594713461622</v>
      </c>
      <c r="U108" s="15">
        <v>585</v>
      </c>
      <c r="V108" s="15">
        <f>Messdaten!AH108-Messdaten!C108</f>
        <v>10353.779570000001</v>
      </c>
      <c r="W108" s="15">
        <f t="shared" si="19"/>
        <v>0.10831580983421048</v>
      </c>
      <c r="Y108" s="23">
        <f t="shared" si="20"/>
        <v>586</v>
      </c>
      <c r="Z108" s="15">
        <f t="shared" si="21"/>
        <v>15153294147820.551</v>
      </c>
      <c r="AA108" s="15">
        <f t="shared" si="22"/>
        <v>15100326149021.738</v>
      </c>
    </row>
    <row r="109" spans="1:27" x14ac:dyDescent="0.2">
      <c r="A109" s="15">
        <v>586</v>
      </c>
      <c r="B109" s="21">
        <f>Messdaten!Q109-Messdaten!C109</f>
        <v>13470.557360000001</v>
      </c>
      <c r="C109" s="15">
        <f>(B109-MIN(B:B))/(MAX(B:B)-MIN(B:B))</f>
        <v>0.1180332034620826</v>
      </c>
      <c r="D109" s="15">
        <f t="shared" si="12"/>
        <v>2.2583101571954697E-3</v>
      </c>
      <c r="E109" s="15">
        <v>506</v>
      </c>
      <c r="F109" s="21">
        <f>Messdaten!T109-Messdaten!I109</f>
        <v>112420.22757999999</v>
      </c>
      <c r="G109" s="15">
        <f>(F109-MIN(F:F))/(MAX(F:F)-MIN(F:F))</f>
        <v>0.43513668875088296</v>
      </c>
      <c r="H109" s="15">
        <f t="shared" si="13"/>
        <v>31256.811973501906</v>
      </c>
      <c r="I109" s="15">
        <v>726</v>
      </c>
      <c r="J109" s="21">
        <f>Messdaten!W109-Messdaten!F109</f>
        <v>22911.918849999998</v>
      </c>
      <c r="K109" s="15">
        <f t="shared" si="14"/>
        <v>0.16048370087320676</v>
      </c>
      <c r="L109" s="15">
        <f t="shared" si="15"/>
        <v>3.5596008679613764E-3</v>
      </c>
      <c r="M109" s="15">
        <v>506</v>
      </c>
      <c r="N109" s="21">
        <f>Messdaten!Z109-Messdaten!L109</f>
        <v>6815.7504300000001</v>
      </c>
      <c r="O109" s="15">
        <f t="shared" si="16"/>
        <v>1.0338536197818191E-2</v>
      </c>
      <c r="P109" s="15">
        <f t="shared" si="17"/>
        <v>2477.6096176836149</v>
      </c>
      <c r="Q109" s="15">
        <v>586</v>
      </c>
      <c r="R109" s="15">
        <f>Messdaten!AE109-Messdaten!C109</f>
        <v>10076.768310000001</v>
      </c>
      <c r="S109" s="15">
        <f t="shared" si="18"/>
        <v>9.9043751905632915E-2</v>
      </c>
      <c r="U109" s="15">
        <v>586</v>
      </c>
      <c r="V109" s="15">
        <f>Messdaten!AH109-Messdaten!C109</f>
        <v>9929.56358</v>
      </c>
      <c r="W109" s="15">
        <f t="shared" si="19"/>
        <v>0.10408163998208822</v>
      </c>
      <c r="Y109" s="24">
        <f t="shared" si="20"/>
        <v>587</v>
      </c>
      <c r="Z109" s="15">
        <f t="shared" si="21"/>
        <v>15047358150222.928</v>
      </c>
      <c r="AA109" s="15">
        <f t="shared" si="22"/>
        <v>15008185498504.652</v>
      </c>
    </row>
    <row r="110" spans="1:27" x14ac:dyDescent="0.2">
      <c r="A110" s="15">
        <v>587</v>
      </c>
      <c r="B110" s="21">
        <f>Messdaten!Q110-Messdaten!C110</f>
        <v>12823.65149</v>
      </c>
      <c r="C110" s="15">
        <f>(B110-MIN(B:B))/(MAX(B:B)-MIN(B:B))</f>
        <v>0.11267782110099209</v>
      </c>
      <c r="D110" s="15">
        <f t="shared" si="12"/>
        <v>2.1498577704138753E-3</v>
      </c>
      <c r="E110" s="15">
        <v>507</v>
      </c>
      <c r="F110" s="21">
        <f>Messdaten!T110-Messdaten!I110</f>
        <v>98880.850940000004</v>
      </c>
      <c r="G110" s="15">
        <f>(F110-MIN(F:F))/(MAX(F:F)-MIN(F:F))</f>
        <v>0.38163351361223224</v>
      </c>
      <c r="H110" s="15">
        <f t="shared" si="13"/>
        <v>27492.384886092306</v>
      </c>
      <c r="I110" s="15">
        <v>727</v>
      </c>
      <c r="J110" s="21">
        <f>Messdaten!W110-Messdaten!F110</f>
        <v>21633.055179999999</v>
      </c>
      <c r="K110" s="15">
        <f t="shared" si="14"/>
        <v>0.15104951631134089</v>
      </c>
      <c r="L110" s="15">
        <f t="shared" si="15"/>
        <v>3.3609163204322522E-3</v>
      </c>
      <c r="M110" s="15">
        <v>507</v>
      </c>
      <c r="N110" s="21">
        <f>Messdaten!Z110-Messdaten!L110</f>
        <v>7362.8017899999995</v>
      </c>
      <c r="O110" s="15">
        <f t="shared" si="16"/>
        <v>1.1133632017068762E-2</v>
      </c>
      <c r="P110" s="15">
        <f t="shared" si="17"/>
        <v>2676.4695561193153</v>
      </c>
      <c r="Q110" s="15">
        <v>587</v>
      </c>
      <c r="R110" s="15">
        <f>Messdaten!AE110-Messdaten!C110</f>
        <v>9826.7935099999995</v>
      </c>
      <c r="S110" s="15">
        <f t="shared" si="18"/>
        <v>9.6621292179655968E-2</v>
      </c>
      <c r="U110" s="15">
        <v>587</v>
      </c>
      <c r="V110" s="15">
        <f>Messdaten!AH110-Messdaten!C110</f>
        <v>9423.5860699999994</v>
      </c>
      <c r="W110" s="15">
        <f t="shared" si="19"/>
        <v>9.9031394896574393E-2</v>
      </c>
      <c r="Y110" s="23">
        <f t="shared" si="20"/>
        <v>588</v>
      </c>
      <c r="Z110" s="15">
        <f t="shared" si="21"/>
        <v>14969012846786.379</v>
      </c>
      <c r="AA110" s="15">
        <f t="shared" si="22"/>
        <v>15109235015957.285</v>
      </c>
    </row>
    <row r="111" spans="1:27" x14ac:dyDescent="0.2">
      <c r="A111" s="15">
        <v>588</v>
      </c>
      <c r="B111" s="21">
        <f>Messdaten!Q111-Messdaten!C111</f>
        <v>12250.197099999999</v>
      </c>
      <c r="C111" s="15">
        <f>(B111-MIN(B:B))/(MAX(B:B)-MIN(B:B))</f>
        <v>0.10793050365108874</v>
      </c>
      <c r="D111" s="15">
        <f t="shared" si="12"/>
        <v>2.0537193673014049E-3</v>
      </c>
      <c r="E111" s="15">
        <v>508</v>
      </c>
      <c r="F111" s="21">
        <f>Messdaten!T111-Messdaten!I111</f>
        <v>88191.986750000011</v>
      </c>
      <c r="G111" s="15">
        <f>(F111-MIN(F:F))/(MAX(F:F)-MIN(F:F))</f>
        <v>0.3393946286179802</v>
      </c>
      <c r="H111" s="15">
        <f t="shared" si="13"/>
        <v>24520.501396892138</v>
      </c>
      <c r="I111" s="15">
        <v>728</v>
      </c>
      <c r="J111" s="21">
        <f>Messdaten!W111-Messdaten!F111</f>
        <v>20342.471400000002</v>
      </c>
      <c r="K111" s="15">
        <f t="shared" si="14"/>
        <v>0.14152887243139511</v>
      </c>
      <c r="L111" s="15">
        <f t="shared" si="15"/>
        <v>3.1604109339763782E-3</v>
      </c>
      <c r="M111" s="15">
        <v>508</v>
      </c>
      <c r="N111" s="21">
        <f>Messdaten!Z111-Messdaten!L111</f>
        <v>7328.0507699999998</v>
      </c>
      <c r="O111" s="15">
        <f t="shared" si="16"/>
        <v>1.1083124162163342E-2</v>
      </c>
      <c r="P111" s="15">
        <f t="shared" si="17"/>
        <v>2663.8371303489494</v>
      </c>
      <c r="Q111" s="15">
        <v>588</v>
      </c>
      <c r="R111" s="15">
        <f>Messdaten!AE111-Messdaten!C111</f>
        <v>9301.8490099999999</v>
      </c>
      <c r="S111" s="15">
        <f t="shared" si="18"/>
        <v>9.1534151757409074E-2</v>
      </c>
      <c r="U111" s="15">
        <v>588</v>
      </c>
      <c r="V111" s="15">
        <f>Messdaten!AH111-Messdaten!C111</f>
        <v>9161.8832500000008</v>
      </c>
      <c r="W111" s="15">
        <f t="shared" si="19"/>
        <v>9.6419295831993226E-2</v>
      </c>
      <c r="Y111" s="24">
        <f t="shared" si="20"/>
        <v>589</v>
      </c>
      <c r="Z111" s="15">
        <f t="shared" si="21"/>
        <v>15249457185128.189</v>
      </c>
      <c r="AA111" s="15">
        <f t="shared" si="22"/>
        <v>15143923544462.539</v>
      </c>
    </row>
    <row r="112" spans="1:27" x14ac:dyDescent="0.2">
      <c r="A112" s="15">
        <v>589</v>
      </c>
      <c r="B112" s="21">
        <f>Messdaten!Q112-Messdaten!C112</f>
        <v>11966.74696</v>
      </c>
      <c r="C112" s="15">
        <f>(B112-MIN(B:B))/(MAX(B:B)-MIN(B:B))</f>
        <v>0.10558397388470304</v>
      </c>
      <c r="D112" s="15">
        <f t="shared" si="12"/>
        <v>2.0061995570134303E-3</v>
      </c>
      <c r="E112" s="15">
        <v>509</v>
      </c>
      <c r="F112" s="21">
        <f>Messdaten!T112-Messdaten!I112</f>
        <v>77900.317469999995</v>
      </c>
      <c r="G112" s="15">
        <f>(F112-MIN(F:F))/(MAX(F:F)-MIN(F:F))</f>
        <v>0.29872532761558829</v>
      </c>
      <c r="H112" s="15">
        <f t="shared" si="13"/>
        <v>21659.052185276636</v>
      </c>
      <c r="I112" s="15">
        <v>729</v>
      </c>
      <c r="J112" s="21">
        <f>Messdaten!W112-Messdaten!F112</f>
        <v>21803.116050000001</v>
      </c>
      <c r="K112" s="15">
        <f t="shared" si="14"/>
        <v>0.15230405631585248</v>
      </c>
      <c r="L112" s="15">
        <f t="shared" si="15"/>
        <v>3.3873370154609561E-3</v>
      </c>
      <c r="M112" s="15">
        <v>509</v>
      </c>
      <c r="N112" s="21">
        <f>Messdaten!Z112-Messdaten!L112</f>
        <v>8319.7423699999999</v>
      </c>
      <c r="O112" s="15">
        <f t="shared" si="16"/>
        <v>1.2524469349836231E-2</v>
      </c>
      <c r="P112" s="15">
        <f t="shared" si="17"/>
        <v>3024.329297890954</v>
      </c>
      <c r="Q112" s="15">
        <v>589</v>
      </c>
      <c r="R112" s="15">
        <f>Messdaten!AE112-Messdaten!C112</f>
        <v>9027.1688300000005</v>
      </c>
      <c r="S112" s="15">
        <f t="shared" si="18"/>
        <v>8.8872276746111589E-2</v>
      </c>
      <c r="U112" s="15">
        <v>589</v>
      </c>
      <c r="V112" s="15">
        <f>Messdaten!AH112-Messdaten!C112</f>
        <v>8615.5734300000004</v>
      </c>
      <c r="W112" s="15">
        <f t="shared" si="19"/>
        <v>9.0966487299805804E-2</v>
      </c>
      <c r="Y112" s="23">
        <f t="shared" si="20"/>
        <v>590</v>
      </c>
      <c r="Z112" s="15">
        <f t="shared" si="21"/>
        <v>15038389903796.891</v>
      </c>
      <c r="AA112" s="15">
        <f t="shared" si="22"/>
        <v>15236468797156.223</v>
      </c>
    </row>
    <row r="113" spans="1:27" x14ac:dyDescent="0.2">
      <c r="A113" s="15">
        <v>590</v>
      </c>
      <c r="B113" s="21">
        <f>Messdaten!Q113-Messdaten!C113</f>
        <v>11308.021860000001</v>
      </c>
      <c r="C113" s="15">
        <f>(B113-MIN(B:B))/(MAX(B:B)-MIN(B:B))</f>
        <v>0.10013074653750403</v>
      </c>
      <c r="D113" s="15">
        <f t="shared" si="12"/>
        <v>1.8957657015779492E-3</v>
      </c>
      <c r="E113" s="15">
        <v>510</v>
      </c>
      <c r="F113" s="21">
        <f>Messdaten!T113-Messdaten!I113</f>
        <v>66761.637350000005</v>
      </c>
      <c r="G113" s="15">
        <f>(F113-MIN(F:F))/(MAX(F:F)-MIN(F:F))</f>
        <v>0.25470891761979048</v>
      </c>
      <c r="H113" s="15">
        <f t="shared" si="13"/>
        <v>18562.103907920879</v>
      </c>
      <c r="I113" s="15">
        <v>730</v>
      </c>
      <c r="J113" s="21">
        <f>Messdaten!W113-Messdaten!F113</f>
        <v>21154.111550000001</v>
      </c>
      <c r="K113" s="15">
        <f t="shared" si="14"/>
        <v>0.14751634643080938</v>
      </c>
      <c r="L113" s="15">
        <f t="shared" si="15"/>
        <v>3.2865075303080428E-3</v>
      </c>
      <c r="M113" s="15">
        <v>510</v>
      </c>
      <c r="N113" s="21">
        <f>Messdaten!Z113-Messdaten!L113</f>
        <v>8073.0527199999997</v>
      </c>
      <c r="O113" s="15">
        <f t="shared" si="16"/>
        <v>1.2165925484105987E-2</v>
      </c>
      <c r="P113" s="15">
        <f t="shared" si="17"/>
        <v>2934.6545576403773</v>
      </c>
      <c r="Q113" s="15">
        <v>590</v>
      </c>
      <c r="R113" s="15">
        <f>Messdaten!AE113-Messdaten!C113</f>
        <v>8560.1618600000002</v>
      </c>
      <c r="S113" s="15">
        <f t="shared" si="18"/>
        <v>8.4346598251417285E-2</v>
      </c>
      <c r="U113" s="15">
        <v>590</v>
      </c>
      <c r="V113" s="15">
        <f>Messdaten!AH113-Messdaten!C113</f>
        <v>8265.503920000001</v>
      </c>
      <c r="W113" s="15">
        <f t="shared" si="19"/>
        <v>8.7472385709271211E-2</v>
      </c>
      <c r="Y113" s="24">
        <f t="shared" si="20"/>
        <v>591</v>
      </c>
      <c r="Z113" s="15">
        <f t="shared" si="21"/>
        <v>15434547690515.555</v>
      </c>
      <c r="AA113" s="15">
        <f t="shared" si="22"/>
        <v>15274805290583.926</v>
      </c>
    </row>
    <row r="114" spans="1:27" x14ac:dyDescent="0.2">
      <c r="A114" s="15">
        <v>591</v>
      </c>
      <c r="B114" s="21">
        <f>Messdaten!Q114-Messdaten!C114</f>
        <v>11293.608970000001</v>
      </c>
      <c r="C114" s="15">
        <f>(B114-MIN(B:B))/(MAX(B:B)-MIN(B:B))</f>
        <v>0.10001143004888052</v>
      </c>
      <c r="D114" s="15">
        <f t="shared" si="12"/>
        <v>1.8933494113672566E-3</v>
      </c>
      <c r="I114" s="15">
        <v>731</v>
      </c>
      <c r="J114" s="21">
        <f>Messdaten!W114-Messdaten!F114</f>
        <v>20250.646959999998</v>
      </c>
      <c r="K114" s="15">
        <f t="shared" si="14"/>
        <v>0.14085148301564135</v>
      </c>
      <c r="L114" s="15">
        <f t="shared" si="15"/>
        <v>3.1461450683165026E-3</v>
      </c>
      <c r="M114" s="15">
        <v>511</v>
      </c>
      <c r="N114" s="21">
        <f>Messdaten!Z114-Messdaten!L114</f>
        <v>8101.7175700000007</v>
      </c>
      <c r="O114" s="15">
        <f t="shared" si="16"/>
        <v>1.2207587573008291E-2</v>
      </c>
      <c r="P114" s="15">
        <f t="shared" si="17"/>
        <v>2945.0745853070102</v>
      </c>
      <c r="Q114" s="15">
        <v>591</v>
      </c>
      <c r="R114" s="15">
        <f>Messdaten!AE114-Messdaten!C114</f>
        <v>8324.7572300000011</v>
      </c>
      <c r="S114" s="15">
        <f t="shared" si="18"/>
        <v>8.206533535818368E-2</v>
      </c>
      <c r="U114" s="15">
        <v>591</v>
      </c>
      <c r="V114" s="15">
        <f>Messdaten!AH114-Messdaten!C114</f>
        <v>8100.2854600000001</v>
      </c>
      <c r="W114" s="15">
        <f t="shared" si="19"/>
        <v>8.5823312975482763E-2</v>
      </c>
      <c r="Y114" s="23">
        <f t="shared" si="20"/>
        <v>592</v>
      </c>
      <c r="Z114" s="15">
        <f t="shared" si="21"/>
        <v>15115062890652.295</v>
      </c>
      <c r="AA114" s="15">
        <f t="shared" si="22"/>
        <v>15064846567624.639</v>
      </c>
    </row>
    <row r="115" spans="1:27" x14ac:dyDescent="0.2">
      <c r="A115" s="15">
        <v>592</v>
      </c>
      <c r="B115" s="21">
        <f>Messdaten!Q115-Messdaten!C115</f>
        <v>10664.99611</v>
      </c>
      <c r="C115" s="15">
        <f>(B115-MIN(B:B))/(MAX(B:B)-MIN(B:B))</f>
        <v>9.4807485582587989E-2</v>
      </c>
      <c r="D115" s="15">
        <f t="shared" si="12"/>
        <v>1.7879638086232216E-3</v>
      </c>
      <c r="I115" s="15">
        <v>732</v>
      </c>
      <c r="J115" s="21">
        <f>Messdaten!W115-Messdaten!F115</f>
        <v>19496.409540000001</v>
      </c>
      <c r="K115" s="15">
        <f t="shared" si="14"/>
        <v>0.13528746928167898</v>
      </c>
      <c r="L115" s="15">
        <f t="shared" si="15"/>
        <v>3.0289665730338631E-3</v>
      </c>
      <c r="M115" s="15">
        <v>512</v>
      </c>
      <c r="N115" s="21">
        <f>Messdaten!Z115-Messdaten!L115</f>
        <v>8710.3906800000004</v>
      </c>
      <c r="O115" s="15">
        <f t="shared" si="16"/>
        <v>1.3092245724760702E-2</v>
      </c>
      <c r="P115" s="15">
        <f t="shared" si="17"/>
        <v>3166.3347923597198</v>
      </c>
      <c r="Q115" s="15">
        <v>592</v>
      </c>
      <c r="R115" s="15">
        <f>Messdaten!AE115-Messdaten!C115</f>
        <v>7914.8623099999995</v>
      </c>
      <c r="S115" s="15">
        <f t="shared" si="18"/>
        <v>7.8093119216466458E-2</v>
      </c>
      <c r="U115" s="15">
        <v>592</v>
      </c>
      <c r="V115" s="15">
        <f>Messdaten!AH115-Messdaten!C115</f>
        <v>7670.2784000000001</v>
      </c>
      <c r="W115" s="15">
        <f t="shared" si="19"/>
        <v>8.153134149734087E-2</v>
      </c>
      <c r="Y115" s="24">
        <f t="shared" si="20"/>
        <v>593</v>
      </c>
      <c r="Z115" s="15">
        <f t="shared" si="21"/>
        <v>15014630244596.982</v>
      </c>
      <c r="AA115" s="15">
        <f t="shared" si="22"/>
        <v>14897142093302.758</v>
      </c>
    </row>
    <row r="116" spans="1:27" x14ac:dyDescent="0.2">
      <c r="A116" s="15">
        <v>593</v>
      </c>
      <c r="B116" s="21">
        <f>Messdaten!Q116-Messdaten!C116</f>
        <v>10241.42497</v>
      </c>
      <c r="C116" s="15">
        <f>(B116-MIN(B:B))/(MAX(B:B)-MIN(B:B))</f>
        <v>9.1300970157363923E-2</v>
      </c>
      <c r="D116" s="15">
        <f t="shared" si="12"/>
        <v>1.7169530120991448E-3</v>
      </c>
      <c r="I116" s="15">
        <v>733</v>
      </c>
      <c r="J116" s="21">
        <f>Messdaten!W116-Messdaten!F116</f>
        <v>19458.126120000001</v>
      </c>
      <c r="K116" s="15">
        <f t="shared" si="14"/>
        <v>0.13500505227475953</v>
      </c>
      <c r="L116" s="15">
        <f t="shared" si="15"/>
        <v>3.0230188522884865E-3</v>
      </c>
      <c r="M116" s="15">
        <v>513</v>
      </c>
      <c r="N116" s="21">
        <f>Messdaten!Z116-Messdaten!L116</f>
        <v>8707.1470200000003</v>
      </c>
      <c r="O116" s="15">
        <f t="shared" si="16"/>
        <v>1.3087531321884397E-2</v>
      </c>
      <c r="P116" s="15">
        <f t="shared" si="17"/>
        <v>3165.1556818134882</v>
      </c>
      <c r="Q116" s="15">
        <v>593</v>
      </c>
      <c r="R116" s="15">
        <f>Messdaten!AE116-Messdaten!C116</f>
        <v>7733.7654000000002</v>
      </c>
      <c r="S116" s="15">
        <f t="shared" si="18"/>
        <v>7.6338142430911027E-2</v>
      </c>
      <c r="U116" s="15">
        <v>593</v>
      </c>
      <c r="V116" s="15">
        <f>Messdaten!AH116-Messdaten!C116</f>
        <v>7479.8415599999998</v>
      </c>
      <c r="W116" s="15">
        <f t="shared" si="19"/>
        <v>7.9630559948155447E-2</v>
      </c>
      <c r="Y116" s="23">
        <f t="shared" si="20"/>
        <v>594</v>
      </c>
      <c r="Z116" s="15">
        <f t="shared" si="21"/>
        <v>14779653942008.531</v>
      </c>
      <c r="AA116" s="15">
        <f t="shared" si="22"/>
        <v>14581468418775.475</v>
      </c>
    </row>
    <row r="117" spans="1:27" x14ac:dyDescent="0.2">
      <c r="A117" s="15">
        <v>594</v>
      </c>
      <c r="B117" s="21">
        <f>Messdaten!Q117-Messdaten!C117</f>
        <v>9820.2194499999987</v>
      </c>
      <c r="C117" s="15">
        <f>(B117-MIN(B:B))/(MAX(B:B)-MIN(B:B))</f>
        <v>8.7814038415344089E-2</v>
      </c>
      <c r="D117" s="15">
        <f t="shared" si="12"/>
        <v>1.6463388067131546E-3</v>
      </c>
      <c r="I117" s="15">
        <v>734</v>
      </c>
      <c r="J117" s="21">
        <f>Messdaten!W117-Messdaten!F117</f>
        <v>18606.74813</v>
      </c>
      <c r="K117" s="15">
        <f t="shared" si="14"/>
        <v>0.12872443200381975</v>
      </c>
      <c r="L117" s="15">
        <f t="shared" si="15"/>
        <v>2.8907485761929855E-3</v>
      </c>
      <c r="M117" s="15">
        <v>514</v>
      </c>
      <c r="N117" s="21">
        <f>Messdaten!Z117-Messdaten!L117</f>
        <v>9436.9301500000001</v>
      </c>
      <c r="O117" s="15">
        <f t="shared" si="16"/>
        <v>1.4148213294455666E-2</v>
      </c>
      <c r="P117" s="15">
        <f t="shared" si="17"/>
        <v>3430.4408797210722</v>
      </c>
      <c r="Q117" s="15">
        <v>594</v>
      </c>
      <c r="R117" s="15">
        <f>Messdaten!AE117-Messdaten!C117</f>
        <v>7263.2173700000003</v>
      </c>
      <c r="S117" s="15">
        <f t="shared" si="18"/>
        <v>7.1778148176239051E-2</v>
      </c>
      <c r="U117" s="15">
        <v>594</v>
      </c>
      <c r="V117" s="15">
        <f>Messdaten!AH117-Messdaten!C117</f>
        <v>7130.4871500000008</v>
      </c>
      <c r="W117" s="15">
        <f t="shared" si="19"/>
        <v>7.6143595888813989E-2</v>
      </c>
      <c r="Y117" s="24">
        <f t="shared" si="20"/>
        <v>595</v>
      </c>
      <c r="Z117" s="15">
        <f t="shared" si="21"/>
        <v>14383282895542.418</v>
      </c>
      <c r="AA117" s="15">
        <f t="shared" si="22"/>
        <v>14252798499920.535</v>
      </c>
    </row>
    <row r="118" spans="1:27" x14ac:dyDescent="0.2">
      <c r="A118" s="15">
        <v>595</v>
      </c>
      <c r="B118" s="21">
        <f>Messdaten!Q118-Messdaten!C118</f>
        <v>9352.2815100000007</v>
      </c>
      <c r="C118" s="15">
        <f>(B118-MIN(B:B))/(MAX(B:B)-MIN(B:B))</f>
        <v>8.3940234348670498E-2</v>
      </c>
      <c r="D118" s="15">
        <f t="shared" si="12"/>
        <v>1.5678900109731156E-3</v>
      </c>
      <c r="I118" s="15">
        <v>735</v>
      </c>
      <c r="J118" s="21">
        <f>Messdaten!W118-Messdaten!F118</f>
        <v>17366.3364</v>
      </c>
      <c r="K118" s="15">
        <f t="shared" si="14"/>
        <v>0.11957390762187109</v>
      </c>
      <c r="L118" s="15">
        <f t="shared" si="15"/>
        <v>2.6980379307143562E-3</v>
      </c>
      <c r="M118" s="15">
        <v>515</v>
      </c>
      <c r="N118" s="21">
        <f>Messdaten!Z118-Messdaten!L118</f>
        <v>9805.13609</v>
      </c>
      <c r="O118" s="15">
        <f t="shared" si="16"/>
        <v>1.4683371462268696E-2</v>
      </c>
      <c r="P118" s="15">
        <f t="shared" si="17"/>
        <v>3564.2882949986056</v>
      </c>
      <c r="Q118" s="15">
        <v>595</v>
      </c>
      <c r="R118" s="15">
        <f>Messdaten!AE118-Messdaten!C118</f>
        <v>7141.4302499999994</v>
      </c>
      <c r="S118" s="15">
        <f t="shared" si="18"/>
        <v>7.0597931637041034E-2</v>
      </c>
      <c r="U118" s="15">
        <v>595</v>
      </c>
      <c r="V118" s="15">
        <f>Messdaten!AH118-Messdaten!C118</f>
        <v>6922.39329</v>
      </c>
      <c r="W118" s="15">
        <f t="shared" si="19"/>
        <v>7.4066576707090659E-2</v>
      </c>
      <c r="Y118" s="23">
        <f t="shared" si="20"/>
        <v>596</v>
      </c>
      <c r="Z118" s="15">
        <f t="shared" si="21"/>
        <v>14122314104298.652</v>
      </c>
      <c r="AA118" s="15">
        <f t="shared" si="22"/>
        <v>13977716889400.158</v>
      </c>
    </row>
    <row r="119" spans="1:27" x14ac:dyDescent="0.2">
      <c r="A119" s="15">
        <v>596</v>
      </c>
      <c r="B119" s="21">
        <f>Messdaten!Q119-Messdaten!C119</f>
        <v>9153.8070399999997</v>
      </c>
      <c r="C119" s="15">
        <f>(B119-MIN(B:B))/(MAX(B:B)-MIN(B:B))</f>
        <v>8.2297172003657632E-2</v>
      </c>
      <c r="D119" s="15">
        <f t="shared" si="12"/>
        <v>1.5346161901826009E-3</v>
      </c>
      <c r="I119" s="15">
        <v>736</v>
      </c>
      <c r="J119" s="21">
        <f>Messdaten!W119-Messdaten!F119</f>
        <v>16856.484090000002</v>
      </c>
      <c r="K119" s="15">
        <f t="shared" si="14"/>
        <v>0.11581272423331362</v>
      </c>
      <c r="L119" s="15">
        <f t="shared" si="15"/>
        <v>2.6188271611105652E-3</v>
      </c>
      <c r="M119" s="15">
        <v>516</v>
      </c>
      <c r="N119" s="21">
        <f>Messdaten!Z119-Messdaten!L119</f>
        <v>10673.530580000001</v>
      </c>
      <c r="O119" s="15">
        <f t="shared" si="16"/>
        <v>1.5945514067049409E-2</v>
      </c>
      <c r="P119" s="15">
        <f t="shared" si="17"/>
        <v>3879.9604374082355</v>
      </c>
      <c r="Q119" s="15">
        <v>596</v>
      </c>
      <c r="R119" s="15">
        <f>Messdaten!AE119-Messdaten!C119</f>
        <v>7040.6150299999999</v>
      </c>
      <c r="S119" s="15">
        <f t="shared" si="18"/>
        <v>6.9620949916421593E-2</v>
      </c>
      <c r="U119" s="15">
        <v>596</v>
      </c>
      <c r="V119" s="15">
        <f>Messdaten!AH119-Messdaten!C119</f>
        <v>6705.9704099999999</v>
      </c>
      <c r="W119" s="15">
        <f t="shared" si="19"/>
        <v>7.1906424201275229E-2</v>
      </c>
      <c r="Y119" s="24">
        <f t="shared" si="20"/>
        <v>597</v>
      </c>
      <c r="Z119" s="15">
        <f t="shared" si="21"/>
        <v>13833119674501.664</v>
      </c>
      <c r="AA119" s="15">
        <f t="shared" si="22"/>
        <v>13826972989357.984</v>
      </c>
    </row>
    <row r="120" spans="1:27" x14ac:dyDescent="0.2">
      <c r="A120" s="15">
        <v>597</v>
      </c>
      <c r="B120" s="21">
        <f>Messdaten!Q120-Messdaten!C120</f>
        <v>8605.25425</v>
      </c>
      <c r="C120" s="15">
        <f>(B120-MIN(B:B))/(MAX(B:B)-MIN(B:B))</f>
        <v>7.775600137601596E-2</v>
      </c>
      <c r="D120" s="15">
        <f t="shared" si="12"/>
        <v>1.4426524870997973E-3</v>
      </c>
      <c r="I120" s="15">
        <v>737</v>
      </c>
      <c r="J120" s="21">
        <f>Messdaten!W120-Messdaten!F120</f>
        <v>16483.639500000001</v>
      </c>
      <c r="K120" s="15">
        <f t="shared" si="14"/>
        <v>0.11306224757386389</v>
      </c>
      <c r="L120" s="15">
        <f t="shared" si="15"/>
        <v>2.5609019417141676E-3</v>
      </c>
      <c r="M120" s="15">
        <v>517</v>
      </c>
      <c r="N120" s="21">
        <f>Messdaten!Z120-Messdaten!L120</f>
        <v>10526.683500000001</v>
      </c>
      <c r="O120" s="15">
        <f t="shared" si="16"/>
        <v>1.5732083468179947E-2</v>
      </c>
      <c r="P120" s="15">
        <f t="shared" si="17"/>
        <v>3826.5797067794656</v>
      </c>
      <c r="Q120" s="15">
        <v>597</v>
      </c>
      <c r="R120" s="15">
        <f>Messdaten!AE120-Messdaten!C120</f>
        <v>6537.4637999999995</v>
      </c>
      <c r="S120" s="15">
        <f t="shared" si="18"/>
        <v>6.474500405807608E-2</v>
      </c>
      <c r="U120" s="15">
        <v>597</v>
      </c>
      <c r="V120" s="15">
        <f>Messdaten!AH120-Messdaten!C120</f>
        <v>6378.7886699999999</v>
      </c>
      <c r="W120" s="15">
        <f t="shared" si="19"/>
        <v>6.8640769222845732E-2</v>
      </c>
      <c r="Y120" s="23">
        <f t="shared" si="20"/>
        <v>598</v>
      </c>
      <c r="Z120" s="15">
        <f t="shared" si="21"/>
        <v>13820826304214.307</v>
      </c>
      <c r="AA120" s="15">
        <f t="shared" si="22"/>
        <v>13392488329646.086</v>
      </c>
    </row>
    <row r="121" spans="1:27" x14ac:dyDescent="0.2">
      <c r="A121" s="15">
        <v>598</v>
      </c>
      <c r="B121" s="21">
        <f>Messdaten!Q121-Messdaten!C121</f>
        <v>8543.8186499999993</v>
      </c>
      <c r="C121" s="15">
        <f>(B121-MIN(B:B))/(MAX(B:B)-MIN(B:B))</f>
        <v>7.7247409409486087E-2</v>
      </c>
      <c r="D121" s="15">
        <f t="shared" si="12"/>
        <v>1.4323529400368539E-3</v>
      </c>
      <c r="I121" s="15">
        <v>738</v>
      </c>
      <c r="J121" s="21">
        <f>Messdaten!W121-Messdaten!F121</f>
        <v>16445.354889999999</v>
      </c>
      <c r="K121" s="15">
        <f t="shared" si="14"/>
        <v>0.11277982178830766</v>
      </c>
      <c r="L121" s="15">
        <f t="shared" si="15"/>
        <v>2.554954036090123E-3</v>
      </c>
      <c r="M121" s="15">
        <v>518</v>
      </c>
      <c r="N121" s="21">
        <f>Messdaten!Z121-Messdaten!L121</f>
        <v>10820.2932</v>
      </c>
      <c r="O121" s="15">
        <f t="shared" si="16"/>
        <v>1.6158821909999038E-2</v>
      </c>
      <c r="P121" s="15">
        <f t="shared" si="17"/>
        <v>3933.310465781919</v>
      </c>
      <c r="Q121" s="15">
        <v>598</v>
      </c>
      <c r="R121" s="15">
        <f>Messdaten!AE121-Messdaten!C121</f>
        <v>6413.7183000000005</v>
      </c>
      <c r="S121" s="15">
        <f t="shared" si="18"/>
        <v>6.354580921915283E-2</v>
      </c>
      <c r="U121" s="15">
        <v>598</v>
      </c>
      <c r="V121" s="15">
        <f>Messdaten!AH121-Messdaten!C121</f>
        <v>6411.9340000000002</v>
      </c>
      <c r="W121" s="15">
        <f t="shared" si="19"/>
        <v>6.8971598235266135E-2</v>
      </c>
      <c r="Y121" s="24">
        <f t="shared" si="20"/>
        <v>599</v>
      </c>
      <c r="Z121" s="15">
        <f t="shared" si="21"/>
        <v>12964150355077.867</v>
      </c>
      <c r="AA121" s="15">
        <f t="shared" si="22"/>
        <v>12950005256530.855</v>
      </c>
    </row>
    <row r="122" spans="1:27" x14ac:dyDescent="0.2">
      <c r="A122" s="15">
        <v>599</v>
      </c>
      <c r="B122" s="21">
        <f>Messdaten!Q122-Messdaten!C122</f>
        <v>7936.1810600000008</v>
      </c>
      <c r="C122" s="15">
        <f>(B122-MIN(B:B))/(MAX(B:B)-MIN(B:B))</f>
        <v>7.2217107811787598E-2</v>
      </c>
      <c r="D122" s="15">
        <f t="shared" si="12"/>
        <v>1.3304837964878617E-3</v>
      </c>
      <c r="I122" s="15">
        <v>739</v>
      </c>
      <c r="J122" s="21">
        <f>Messdaten!W122-Messdaten!F122</f>
        <v>15761.354160000001</v>
      </c>
      <c r="K122" s="15">
        <f t="shared" si="14"/>
        <v>0.1077339445156575</v>
      </c>
      <c r="L122" s="15">
        <f t="shared" si="15"/>
        <v>2.4486875287698857E-3</v>
      </c>
      <c r="M122" s="15">
        <v>519</v>
      </c>
      <c r="N122" s="21">
        <f>Messdaten!Z122-Messdaten!L122</f>
        <v>11444.678830000001</v>
      </c>
      <c r="O122" s="15">
        <f t="shared" si="16"/>
        <v>1.7066316964966334E-2</v>
      </c>
      <c r="P122" s="15">
        <f t="shared" si="17"/>
        <v>4160.2823682773933</v>
      </c>
      <c r="Q122" s="15">
        <v>599</v>
      </c>
      <c r="R122" s="15">
        <f>Messdaten!AE122-Messdaten!C122</f>
        <v>6422.61247</v>
      </c>
      <c r="S122" s="15">
        <f t="shared" si="18"/>
        <v>6.3632000981766454E-2</v>
      </c>
      <c r="U122" s="15">
        <v>599</v>
      </c>
      <c r="V122" s="15">
        <f>Messdaten!AH122-Messdaten!C122</f>
        <v>6078.7814100000005</v>
      </c>
      <c r="W122" s="15">
        <f t="shared" si="19"/>
        <v>6.5646347216947745E-2</v>
      </c>
      <c r="Y122" s="23">
        <f t="shared" si="20"/>
        <v>600</v>
      </c>
      <c r="Z122" s="15">
        <f t="shared" si="21"/>
        <v>12935860157983.844</v>
      </c>
      <c r="AA122" s="15">
        <f t="shared" si="22"/>
        <v>12807560320189.063</v>
      </c>
    </row>
    <row r="123" spans="1:27" x14ac:dyDescent="0.2">
      <c r="A123" s="15">
        <v>600</v>
      </c>
      <c r="B123" s="21">
        <f>Messdaten!Q123-Messdaten!C123</f>
        <v>7727.1988899999997</v>
      </c>
      <c r="C123" s="15">
        <f>(B123-MIN(B:B))/(MAX(B:B)-MIN(B:B))</f>
        <v>7.0487057925240085E-2</v>
      </c>
      <c r="D123" s="15">
        <f t="shared" si="12"/>
        <v>1.2954483822454513E-3</v>
      </c>
      <c r="I123" s="15">
        <v>740</v>
      </c>
      <c r="J123" s="21">
        <f>Messdaten!W123-Messdaten!F123</f>
        <v>15747.803320000001</v>
      </c>
      <c r="K123" s="15">
        <f t="shared" si="14"/>
        <v>0.10763397989196284</v>
      </c>
      <c r="L123" s="15">
        <f t="shared" si="15"/>
        <v>2.4465822672184025E-3</v>
      </c>
      <c r="M123" s="15">
        <v>520</v>
      </c>
      <c r="N123" s="21">
        <f>Messdaten!Z123-Messdaten!L123</f>
        <v>11937.418800000001</v>
      </c>
      <c r="O123" s="15">
        <f t="shared" si="16"/>
        <v>1.7782475480913815E-2</v>
      </c>
      <c r="P123" s="15">
        <f t="shared" si="17"/>
        <v>4339.3994444126374</v>
      </c>
      <c r="Q123" s="15">
        <v>600</v>
      </c>
      <c r="R123" s="15">
        <f>Messdaten!AE123-Messdaten!C123</f>
        <v>6096.6556399999999</v>
      </c>
      <c r="S123" s="15">
        <f t="shared" si="18"/>
        <v>6.0473213403650174E-2</v>
      </c>
      <c r="U123" s="15">
        <v>600</v>
      </c>
      <c r="V123" s="15">
        <f>Messdaten!AH123-Messdaten!C123</f>
        <v>5819.6975400000001</v>
      </c>
      <c r="W123" s="15">
        <f t="shared" si="19"/>
        <v>6.3060388324815544E-2</v>
      </c>
      <c r="Y123" s="24">
        <f t="shared" si="20"/>
        <v>601</v>
      </c>
      <c r="Z123" s="15">
        <f t="shared" si="21"/>
        <v>12679260482394.283</v>
      </c>
      <c r="AA123" s="15">
        <f t="shared" si="22"/>
        <v>12481229871868.143</v>
      </c>
    </row>
    <row r="124" spans="1:27" x14ac:dyDescent="0.2">
      <c r="A124" s="15">
        <v>601</v>
      </c>
      <c r="B124" s="21">
        <f>Messdaten!Q124-Messdaten!C124</f>
        <v>7619.40517</v>
      </c>
      <c r="C124" s="15">
        <f>(B124-MIN(B:B))/(MAX(B:B)-MIN(B:B))</f>
        <v>6.9594692260472935E-2</v>
      </c>
      <c r="D124" s="15">
        <f t="shared" si="12"/>
        <v>1.2773769954236454E-3</v>
      </c>
      <c r="I124" s="15">
        <v>741</v>
      </c>
      <c r="J124" s="21">
        <f>Messdaten!W124-Messdaten!F124</f>
        <v>15745.90727</v>
      </c>
      <c r="K124" s="15">
        <f t="shared" si="14"/>
        <v>0.10761999272033686</v>
      </c>
      <c r="L124" s="15">
        <f t="shared" si="15"/>
        <v>2.4462876964637709E-3</v>
      </c>
      <c r="M124" s="15">
        <v>521</v>
      </c>
      <c r="N124" s="21">
        <f>Messdaten!Z124-Messdaten!L124</f>
        <v>11845.009480000001</v>
      </c>
      <c r="O124" s="15">
        <f t="shared" si="16"/>
        <v>1.7648165854132543E-2</v>
      </c>
      <c r="P124" s="15">
        <f t="shared" si="17"/>
        <v>4305.8075131429941</v>
      </c>
      <c r="Q124" s="15">
        <v>601</v>
      </c>
      <c r="R124" s="15">
        <f>Messdaten!AE124-Messdaten!C124</f>
        <v>5844.2334100000007</v>
      </c>
      <c r="S124" s="15">
        <f t="shared" si="18"/>
        <v>5.8027036084511291E-2</v>
      </c>
      <c r="U124" s="15">
        <v>601</v>
      </c>
      <c r="V124" s="15">
        <f>Messdaten!AH124-Messdaten!C124</f>
        <v>5668.8895700000003</v>
      </c>
      <c r="W124" s="15">
        <f t="shared" si="19"/>
        <v>6.1555149071496139E-2</v>
      </c>
      <c r="Y124" s="23">
        <f t="shared" si="20"/>
        <v>602</v>
      </c>
      <c r="Z124" s="15">
        <f t="shared" si="21"/>
        <v>12283199261342.002</v>
      </c>
      <c r="AA124" s="15">
        <f t="shared" si="22"/>
        <v>12327151715175.789</v>
      </c>
    </row>
    <row r="125" spans="1:27" x14ac:dyDescent="0.2">
      <c r="A125" s="15">
        <v>602</v>
      </c>
      <c r="B125" s="21">
        <f>Messdaten!Q125-Messdaten!C125</f>
        <v>7314.6563699999997</v>
      </c>
      <c r="C125" s="15">
        <f>(B125-MIN(B:B))/(MAX(B:B)-MIN(B:B))</f>
        <v>6.7071842455317346E-2</v>
      </c>
      <c r="D125" s="15">
        <f t="shared" si="12"/>
        <v>1.226286510298156E-3</v>
      </c>
      <c r="I125" s="15">
        <v>742</v>
      </c>
      <c r="J125" s="21">
        <f>Messdaten!W125-Messdaten!F125</f>
        <v>14231.052389999999</v>
      </c>
      <c r="K125" s="15">
        <f t="shared" si="14"/>
        <v>9.6444899661071823E-2</v>
      </c>
      <c r="L125" s="15">
        <f t="shared" si="15"/>
        <v>2.2109395014485145E-3</v>
      </c>
      <c r="M125" s="15">
        <v>522</v>
      </c>
      <c r="N125" s="21">
        <f>Messdaten!Z125-Messdaten!L125</f>
        <v>13091.024890000001</v>
      </c>
      <c r="O125" s="15">
        <f t="shared" si="16"/>
        <v>1.9459150554385889E-2</v>
      </c>
      <c r="P125" s="15">
        <f t="shared" si="17"/>
        <v>4758.7495325587479</v>
      </c>
      <c r="Q125" s="15">
        <v>602</v>
      </c>
      <c r="R125" s="15">
        <f>Messdaten!AE125-Messdaten!C125</f>
        <v>5496.0679099999998</v>
      </c>
      <c r="S125" s="15">
        <f t="shared" si="18"/>
        <v>5.465302837763597E-2</v>
      </c>
      <c r="U125" s="15">
        <v>602</v>
      </c>
      <c r="V125" s="15">
        <f>Messdaten!AH125-Messdaten!C125</f>
        <v>5330.3381299999992</v>
      </c>
      <c r="W125" s="15">
        <f t="shared" si="19"/>
        <v>5.8176011239750143E-2</v>
      </c>
      <c r="Y125" s="24">
        <f t="shared" si="20"/>
        <v>603</v>
      </c>
      <c r="Z125" s="15">
        <f t="shared" si="21"/>
        <v>12371104169009.574</v>
      </c>
      <c r="AA125" s="15">
        <f t="shared" si="22"/>
        <v>12042545442730.117</v>
      </c>
    </row>
    <row r="126" spans="1:27" x14ac:dyDescent="0.2">
      <c r="A126" s="15">
        <v>603</v>
      </c>
      <c r="B126" s="21">
        <f>Messdaten!Q126-Messdaten!C126</f>
        <v>7279.4303</v>
      </c>
      <c r="C126" s="15">
        <f>(B126-MIN(B:B))/(MAX(B:B)-MIN(B:B))</f>
        <v>6.678022495317823E-2</v>
      </c>
      <c r="D126" s="15">
        <f t="shared" si="12"/>
        <v>1.2203809349345632E-3</v>
      </c>
      <c r="I126" s="15">
        <v>743</v>
      </c>
      <c r="J126" s="21">
        <f>Messdaten!W126-Messdaten!F126</f>
        <v>14139.422640000001</v>
      </c>
      <c r="K126" s="15">
        <f t="shared" si="14"/>
        <v>9.5768946474554598E-2</v>
      </c>
      <c r="L126" s="15">
        <f t="shared" si="15"/>
        <v>2.1967038828708467E-3</v>
      </c>
      <c r="M126" s="15">
        <v>523</v>
      </c>
      <c r="N126" s="21">
        <f>Messdaten!Z126-Messdaten!L126</f>
        <v>13809.966829999999</v>
      </c>
      <c r="O126" s="15">
        <f t="shared" si="16"/>
        <v>2.0504075716034135E-2</v>
      </c>
      <c r="P126" s="15">
        <f t="shared" si="17"/>
        <v>5020.0938237551773</v>
      </c>
      <c r="Q126" s="15">
        <v>603</v>
      </c>
      <c r="R126" s="15">
        <f>Messdaten!AE126-Messdaten!C126</f>
        <v>5608.8505600000008</v>
      </c>
      <c r="S126" s="15">
        <f t="shared" si="18"/>
        <v>5.5745984257244446E-2</v>
      </c>
      <c r="U126" s="15">
        <v>603</v>
      </c>
      <c r="V126" s="15">
        <f>Messdaten!AH126-Messdaten!C126</f>
        <v>5402.6124900000004</v>
      </c>
      <c r="W126" s="15">
        <f t="shared" si="19"/>
        <v>5.8897393562451925E-2</v>
      </c>
      <c r="Y126" s="23">
        <f t="shared" si="20"/>
        <v>604</v>
      </c>
      <c r="Z126" s="15">
        <f t="shared" si="21"/>
        <v>11713986716450.662</v>
      </c>
      <c r="AA126" s="15">
        <f t="shared" si="22"/>
        <v>11465487161150.379</v>
      </c>
    </row>
    <row r="127" spans="1:27" x14ac:dyDescent="0.2">
      <c r="A127" s="15">
        <v>604</v>
      </c>
      <c r="B127" s="21">
        <f>Messdaten!Q127-Messdaten!C127</f>
        <v>6835.72649</v>
      </c>
      <c r="C127" s="15">
        <f>(B127-MIN(B:B))/(MAX(B:B)-MIN(B:B))</f>
        <v>6.3107042087141393E-2</v>
      </c>
      <c r="D127" s="15">
        <f t="shared" si="12"/>
        <v>1.1459949393049565E-3</v>
      </c>
      <c r="I127" s="15">
        <v>744</v>
      </c>
      <c r="J127" s="21">
        <f>Messdaten!W127-Messdaten!F127</f>
        <v>12834.61119</v>
      </c>
      <c r="K127" s="15">
        <f t="shared" si="14"/>
        <v>8.614334499215745E-2</v>
      </c>
      <c r="L127" s="15">
        <f t="shared" si="15"/>
        <v>1.9939880824023956E-3</v>
      </c>
      <c r="M127" s="15">
        <v>524</v>
      </c>
      <c r="N127" s="21">
        <f>Messdaten!Z127-Messdaten!L127</f>
        <v>13973.672480000001</v>
      </c>
      <c r="O127" s="15">
        <f t="shared" si="16"/>
        <v>2.074200891101367E-2</v>
      </c>
      <c r="P127" s="15">
        <f t="shared" si="17"/>
        <v>5079.6028531826469</v>
      </c>
      <c r="Q127" s="15">
        <v>604</v>
      </c>
      <c r="R127" s="15">
        <f>Messdaten!AE127-Messdaten!C127</f>
        <v>5189.375</v>
      </c>
      <c r="S127" s="15">
        <f t="shared" si="18"/>
        <v>5.1680923898633845E-2</v>
      </c>
      <c r="U127" s="15">
        <v>604</v>
      </c>
      <c r="V127" s="15">
        <f>Messdaten!AH127-Messdaten!C127</f>
        <v>4934.92112</v>
      </c>
      <c r="W127" s="15">
        <f t="shared" si="19"/>
        <v>5.4229288762932801E-2</v>
      </c>
      <c r="Y127" s="24">
        <f t="shared" si="20"/>
        <v>605</v>
      </c>
      <c r="Z127" s="15">
        <f t="shared" si="21"/>
        <v>11216987605850.096</v>
      </c>
      <c r="AA127" s="15">
        <f t="shared" si="22"/>
        <v>11083086323682.918</v>
      </c>
    </row>
    <row r="128" spans="1:27" x14ac:dyDescent="0.2">
      <c r="A128" s="15">
        <v>605</v>
      </c>
      <c r="B128" s="21">
        <f>Messdaten!Q128-Messdaten!C128</f>
        <v>6492.7848199999999</v>
      </c>
      <c r="C128" s="15">
        <f>(B128-MIN(B:B))/(MAX(B:B)-MIN(B:B))</f>
        <v>6.026801425392523E-2</v>
      </c>
      <c r="D128" s="15">
        <f t="shared" si="12"/>
        <v>1.0885015011354035E-3</v>
      </c>
      <c r="I128" s="15">
        <v>745</v>
      </c>
      <c r="J128" s="21">
        <f>Messdaten!W128-Messdaten!F128</f>
        <v>12601.02727</v>
      </c>
      <c r="K128" s="15">
        <f t="shared" si="14"/>
        <v>8.4420195086769872E-2</v>
      </c>
      <c r="L128" s="15">
        <f t="shared" si="15"/>
        <v>1.9576984320323295E-3</v>
      </c>
      <c r="M128" s="15">
        <v>525</v>
      </c>
      <c r="N128" s="21">
        <f>Messdaten!Z128-Messdaten!L128</f>
        <v>15357.230509999999</v>
      </c>
      <c r="O128" s="15">
        <f t="shared" si="16"/>
        <v>2.2752900914542469E-2</v>
      </c>
      <c r="P128" s="15">
        <f t="shared" si="17"/>
        <v>5582.5433168861264</v>
      </c>
      <c r="Q128" s="15">
        <v>605</v>
      </c>
      <c r="R128" s="15">
        <f>Messdaten!AE128-Messdaten!C128</f>
        <v>5191.2709599999998</v>
      </c>
      <c r="S128" s="15">
        <f t="shared" si="18"/>
        <v>5.1699297297640716E-2</v>
      </c>
      <c r="U128" s="15">
        <v>605</v>
      </c>
      <c r="V128" s="15">
        <f>Messdaten!AH128-Messdaten!C128</f>
        <v>4786.3624099999997</v>
      </c>
      <c r="W128" s="15">
        <f t="shared" si="19"/>
        <v>5.2746499745120974E-2</v>
      </c>
      <c r="Y128" s="23">
        <f t="shared" si="20"/>
        <v>606</v>
      </c>
      <c r="Z128" s="15">
        <f t="shared" si="21"/>
        <v>10949185041515.74</v>
      </c>
      <c r="AA128" s="15">
        <f t="shared" si="22"/>
        <v>10849698946008.744</v>
      </c>
    </row>
    <row r="129" spans="1:27" x14ac:dyDescent="0.2">
      <c r="A129" s="15">
        <v>606</v>
      </c>
      <c r="B129" s="21">
        <f>Messdaten!Q129-Messdaten!C129</f>
        <v>6255.0263700000005</v>
      </c>
      <c r="C129" s="15">
        <f>(B129-MIN(B:B))/(MAX(B:B)-MIN(B:B))</f>
        <v>5.8299741173747095E-2</v>
      </c>
      <c r="D129" s="15">
        <f t="shared" si="12"/>
        <v>1.0486418050408351E-3</v>
      </c>
      <c r="I129" s="15">
        <v>746</v>
      </c>
      <c r="J129" s="21">
        <f>Messdaten!W129-Messdaten!F129</f>
        <v>11024.56854</v>
      </c>
      <c r="K129" s="15">
        <f t="shared" si="14"/>
        <v>7.2790650075936394E-2</v>
      </c>
      <c r="L129" s="15">
        <f t="shared" si="15"/>
        <v>1.712779449019552E-3</v>
      </c>
      <c r="M129" s="15">
        <v>526</v>
      </c>
      <c r="N129" s="21">
        <f>Messdaten!Z129-Messdaten!L129</f>
        <v>15733.527410000001</v>
      </c>
      <c r="O129" s="15">
        <f t="shared" si="16"/>
        <v>2.329981865182211E-2</v>
      </c>
      <c r="P129" s="15">
        <f t="shared" si="17"/>
        <v>5719.3318962391604</v>
      </c>
      <c r="Q129" s="15">
        <v>606</v>
      </c>
      <c r="R129" s="15">
        <f>Messdaten!AE129-Messdaten!C129</f>
        <v>4885.1176000000005</v>
      </c>
      <c r="S129" s="15">
        <f t="shared" si="18"/>
        <v>4.8732421498270111E-2</v>
      </c>
      <c r="U129" s="15">
        <v>606</v>
      </c>
      <c r="V129" s="15">
        <f>Messdaten!AH129-Messdaten!C129</f>
        <v>4932.7407800000001</v>
      </c>
      <c r="W129" s="15">
        <f t="shared" si="19"/>
        <v>5.4207526429326809E-2</v>
      </c>
      <c r="Y129" s="24">
        <f t="shared" si="20"/>
        <v>607</v>
      </c>
      <c r="Z129" s="15">
        <f t="shared" si="21"/>
        <v>10750212850501.748</v>
      </c>
      <c r="AA129" s="15">
        <f t="shared" si="22"/>
        <v>10699774684686.246</v>
      </c>
    </row>
    <row r="130" spans="1:27" x14ac:dyDescent="0.2">
      <c r="A130" s="15">
        <v>607</v>
      </c>
      <c r="B130" s="21">
        <f>Messdaten!Q130-Messdaten!C130</f>
        <v>6157.8182999999999</v>
      </c>
      <c r="C130" s="15">
        <f>(B130-MIN(B:B))/(MAX(B:B)-MIN(B:B))</f>
        <v>5.7495008356229685E-2</v>
      </c>
      <c r="D130" s="15">
        <f t="shared" si="12"/>
        <v>1.0323450798218597E-3</v>
      </c>
      <c r="I130" s="15">
        <v>747</v>
      </c>
      <c r="J130" s="21">
        <f>Messdaten!W130-Messdaten!F130</f>
        <v>13102.10139</v>
      </c>
      <c r="K130" s="15">
        <f t="shared" si="14"/>
        <v>8.8116621717807514E-2</v>
      </c>
      <c r="L130" s="15">
        <f t="shared" si="15"/>
        <v>2.0355454200625348E-3</v>
      </c>
      <c r="M130" s="15">
        <v>527</v>
      </c>
      <c r="N130" s="21">
        <f>Messdaten!Z130-Messdaten!L130</f>
        <v>15430.65862</v>
      </c>
      <c r="O130" s="15">
        <f t="shared" si="16"/>
        <v>2.2859622856110207E-2</v>
      </c>
      <c r="P130" s="15">
        <f t="shared" si="17"/>
        <v>5609.2353434520601</v>
      </c>
      <c r="Q130" s="15">
        <v>607</v>
      </c>
      <c r="R130" s="15">
        <f>Messdaten!AE130-Messdaten!C130</f>
        <v>4694.1616999999997</v>
      </c>
      <c r="S130" s="15">
        <f t="shared" si="18"/>
        <v>4.6881903057260546E-2</v>
      </c>
      <c r="U130" s="15">
        <v>607</v>
      </c>
      <c r="V130" s="15">
        <f>Messdaten!AH130-Messdaten!C130</f>
        <v>4568.3179899999996</v>
      </c>
      <c r="W130" s="15">
        <f t="shared" si="19"/>
        <v>5.0570162380780971E-2</v>
      </c>
      <c r="Y130" s="23">
        <f t="shared" si="20"/>
        <v>608</v>
      </c>
      <c r="Z130" s="15">
        <f t="shared" si="21"/>
        <v>10649336518870.742</v>
      </c>
      <c r="AA130" s="15">
        <f t="shared" si="22"/>
        <v>10357506172634.482</v>
      </c>
    </row>
    <row r="131" spans="1:27" x14ac:dyDescent="0.2">
      <c r="A131" s="15">
        <v>608</v>
      </c>
      <c r="B131" s="21">
        <f>Messdaten!Q131-Messdaten!C131</f>
        <v>5970.0174500000003</v>
      </c>
      <c r="C131" s="15">
        <f>(B131-MIN(B:B))/(MAX(B:B)-MIN(B:B))</f>
        <v>5.5940307114319791E-2</v>
      </c>
      <c r="D131" s="15">
        <f t="shared" si="12"/>
        <v>1.000860668616699E-3</v>
      </c>
      <c r="I131" s="15">
        <v>748</v>
      </c>
      <c r="J131" s="21">
        <f>Messdaten!W131-Messdaten!F131</f>
        <v>10133.975640000001</v>
      </c>
      <c r="K131" s="15">
        <f t="shared" si="14"/>
        <v>6.6220741191053173E-2</v>
      </c>
      <c r="L131" s="15">
        <f t="shared" si="15"/>
        <v>1.5744167356826794E-3</v>
      </c>
      <c r="M131" s="15">
        <v>528</v>
      </c>
      <c r="N131" s="21">
        <f>Messdaten!Z131-Messdaten!L131</f>
        <v>16240.619269999999</v>
      </c>
      <c r="O131" s="15">
        <f t="shared" si="16"/>
        <v>2.4036836503056398E-2</v>
      </c>
      <c r="P131" s="15">
        <f t="shared" si="17"/>
        <v>5903.6660619760751</v>
      </c>
      <c r="Q131" s="15">
        <v>608</v>
      </c>
      <c r="R131" s="15">
        <f>Messdaten!AE131-Messdaten!C131</f>
        <v>4612.2479700000004</v>
      </c>
      <c r="S131" s="15">
        <f t="shared" si="18"/>
        <v>4.6088092193407294E-2</v>
      </c>
      <c r="U131" s="15">
        <v>608</v>
      </c>
      <c r="V131" s="15">
        <f>Messdaten!AH131-Messdaten!C131</f>
        <v>4403.2797500000006</v>
      </c>
      <c r="W131" s="15">
        <f t="shared" si="19"/>
        <v>4.8922888452574469E-2</v>
      </c>
      <c r="Y131" s="24">
        <f t="shared" si="20"/>
        <v>609</v>
      </c>
      <c r="Z131" s="15">
        <f t="shared" si="21"/>
        <v>10065675826398.223</v>
      </c>
      <c r="AA131" s="15">
        <f t="shared" si="22"/>
        <v>10104171248027.389</v>
      </c>
    </row>
    <row r="132" spans="1:27" x14ac:dyDescent="0.2">
      <c r="A132" s="15">
        <v>609</v>
      </c>
      <c r="B132" s="21">
        <f>Messdaten!Q132-Messdaten!C132</f>
        <v>5651.7665099999995</v>
      </c>
      <c r="C132" s="15">
        <f>(B132-MIN(B:B))/(MAX(B:B)-MIN(B:B))</f>
        <v>5.3305680425159471E-2</v>
      </c>
      <c r="D132" s="15">
        <f t="shared" ref="D132:D195" si="23">B132/SUM(B:B)</f>
        <v>9.4750657857190466E-4</v>
      </c>
      <c r="I132" s="15">
        <v>749</v>
      </c>
      <c r="J132" s="21">
        <f>Messdaten!W132-Messdaten!F132</f>
        <v>11408.151609999999</v>
      </c>
      <c r="K132" s="15">
        <f>(J132-MIN(J:J))/(MAX(J:J)-MIN(J:J))</f>
        <v>7.5620344563377032E-2</v>
      </c>
      <c r="L132" s="15">
        <f t="shared" ref="L132:L183" si="24">J132/SUM(J:J)</f>
        <v>1.7723730010850214E-3</v>
      </c>
      <c r="M132" s="15">
        <v>529</v>
      </c>
      <c r="N132" s="21">
        <f>Messdaten!Z132-Messdaten!L132</f>
        <v>18856.925329999998</v>
      </c>
      <c r="O132" s="15">
        <f t="shared" ref="O132:O195" si="25">(N132-MIN(N:N))/(MAX(N:N)-MIN(N:N))</f>
        <v>2.7839430120931569E-2</v>
      </c>
      <c r="P132" s="15">
        <f t="shared" ref="P132:P195" si="26">N132/MAX(N:N)*250000</f>
        <v>6854.725688298091</v>
      </c>
      <c r="Q132" s="15">
        <v>609</v>
      </c>
      <c r="R132" s="15">
        <f>Messdaten!AE132-Messdaten!C132</f>
        <v>4358.6145099999994</v>
      </c>
      <c r="S132" s="15">
        <f t="shared" ref="S132:S195" si="27">(R132-MIN(R:R))/(MAX(R:R)-MIN(R:R))</f>
        <v>4.363017706752189E-2</v>
      </c>
      <c r="U132" s="15">
        <v>609</v>
      </c>
      <c r="V132" s="15">
        <f>Messdaten!AH132-Messdaten!C132</f>
        <v>4199.0961699999998</v>
      </c>
      <c r="W132" s="15">
        <f t="shared" ref="W132:W195" si="28">(V132-MIN(V:V))/(MAX(V:V)-MIN(V:V))</f>
        <v>4.6884898421283107E-2</v>
      </c>
      <c r="Y132" s="23">
        <f t="shared" ref="Y132:Y146" si="29">A133</f>
        <v>610</v>
      </c>
      <c r="Z132" s="15">
        <f t="shared" ref="Z132:Z182" si="30">D133*P213*Y132^4</f>
        <v>10142666669656.555</v>
      </c>
      <c r="AA132" s="15">
        <f t="shared" ref="AA132:AA182" si="31">(Z132+Z133)/2*(Y133-Y132)</f>
        <v>9971907618533.1953</v>
      </c>
    </row>
    <row r="133" spans="1:27" x14ac:dyDescent="0.2">
      <c r="A133" s="15">
        <v>610</v>
      </c>
      <c r="B133" s="21">
        <f>Messdaten!Q133-Messdaten!C133</f>
        <v>5512.6255199999996</v>
      </c>
      <c r="C133" s="15">
        <f>(B133-MIN(B:B))/(MAX(B:B)-MIN(B:B))</f>
        <v>5.2153807736864545E-2</v>
      </c>
      <c r="D133" s="15">
        <f t="shared" si="23"/>
        <v>9.2417988891819363E-4</v>
      </c>
      <c r="I133" s="15">
        <v>750</v>
      </c>
      <c r="J133" s="21">
        <f>Messdaten!W133-Messdaten!F133</f>
        <v>10310.097470000001</v>
      </c>
      <c r="K133" s="15">
        <f>(J133-MIN(J:J))/(MAX(J:J)-MIN(J:J))</f>
        <v>6.7519992931931505E-2</v>
      </c>
      <c r="L133" s="15">
        <f t="shared" si="24"/>
        <v>1.601779062820764E-3</v>
      </c>
      <c r="M133" s="15">
        <v>530</v>
      </c>
      <c r="N133" s="21">
        <f>Messdaten!Z133-Messdaten!L133</f>
        <v>18262.664410000001</v>
      </c>
      <c r="O133" s="15">
        <f t="shared" si="25"/>
        <v>2.6975718945739545E-2</v>
      </c>
      <c r="P133" s="15">
        <f t="shared" si="26"/>
        <v>6638.7044906431902</v>
      </c>
      <c r="Q133" s="15">
        <v>610</v>
      </c>
      <c r="R133" s="15">
        <f>Messdaten!AE133-Messdaten!C133</f>
        <v>4340.4026899999999</v>
      </c>
      <c r="S133" s="15">
        <f t="shared" si="27"/>
        <v>4.3453689675645835E-2</v>
      </c>
      <c r="U133" s="15">
        <v>610</v>
      </c>
      <c r="V133" s="15">
        <f>Messdaten!AH133-Messdaten!C133</f>
        <v>4096.6556999999993</v>
      </c>
      <c r="W133" s="15">
        <f t="shared" si="28"/>
        <v>4.5862423172975668E-2</v>
      </c>
      <c r="Y133" s="24">
        <f t="shared" si="29"/>
        <v>611</v>
      </c>
      <c r="Z133" s="15">
        <f t="shared" si="30"/>
        <v>9801148567409.834</v>
      </c>
      <c r="AA133" s="15">
        <f t="shared" si="31"/>
        <v>9851097401255.5918</v>
      </c>
    </row>
    <row r="134" spans="1:27" x14ac:dyDescent="0.2">
      <c r="A134" s="15">
        <v>611</v>
      </c>
      <c r="B134" s="21">
        <f>Messdaten!Q134-Messdaten!C134</f>
        <v>5269.4575300000006</v>
      </c>
      <c r="C134" s="15">
        <f>(B134-MIN(B:B))/(MAX(B:B)-MIN(B:B))</f>
        <v>5.0140752012964827E-2</v>
      </c>
      <c r="D134" s="15">
        <f t="shared" si="23"/>
        <v>8.8341329500185963E-4</v>
      </c>
      <c r="I134" s="15">
        <v>751</v>
      </c>
      <c r="J134" s="21">
        <f>Messdaten!W134-Messdaten!F134</f>
        <v>9271.8457099999996</v>
      </c>
      <c r="K134" s="15">
        <f>(J134-MIN(J:J))/(MAX(J:J)-MIN(J:J))</f>
        <v>5.986080379762599E-2</v>
      </c>
      <c r="L134" s="15">
        <f t="shared" si="24"/>
        <v>1.4404760357694774E-3</v>
      </c>
      <c r="M134" s="15">
        <v>531</v>
      </c>
      <c r="N134" s="21">
        <f>Messdaten!Z134-Messdaten!L134</f>
        <v>18944.814200000001</v>
      </c>
      <c r="O134" s="15">
        <f t="shared" si="25"/>
        <v>2.7967169631707409E-2</v>
      </c>
      <c r="P134" s="15">
        <f t="shared" si="26"/>
        <v>6886.674380057827</v>
      </c>
      <c r="Q134" s="15">
        <v>611</v>
      </c>
      <c r="R134" s="15">
        <f>Messdaten!AE134-Messdaten!C134</f>
        <v>4181.7235500000006</v>
      </c>
      <c r="S134" s="15">
        <f t="shared" si="27"/>
        <v>4.1915959368420262E-2</v>
      </c>
      <c r="U134" s="15">
        <v>611</v>
      </c>
      <c r="V134" s="15">
        <f>Messdaten!AH134-Messdaten!C134</f>
        <v>3874.4063699999997</v>
      </c>
      <c r="W134" s="15">
        <f t="shared" si="28"/>
        <v>4.3644115907517878E-2</v>
      </c>
      <c r="Y134" s="23">
        <f t="shared" si="29"/>
        <v>612</v>
      </c>
      <c r="Z134" s="15">
        <f t="shared" si="30"/>
        <v>9901046235101.3496</v>
      </c>
      <c r="AA134" s="15">
        <f t="shared" si="31"/>
        <v>9844664050415.6582</v>
      </c>
    </row>
    <row r="135" spans="1:27" x14ac:dyDescent="0.2">
      <c r="A135" s="15">
        <v>612</v>
      </c>
      <c r="B135" s="21">
        <f>Messdaten!Q135-Messdaten!C135</f>
        <v>5259.8527199999999</v>
      </c>
      <c r="C135" s="15">
        <f>(B135-MIN(B:B))/(MAX(B:B)-MIN(B:B))</f>
        <v>5.0061239007377738E-2</v>
      </c>
      <c r="D135" s="15">
        <f t="shared" si="23"/>
        <v>8.8180306912914676E-4</v>
      </c>
      <c r="I135" s="15">
        <v>752</v>
      </c>
      <c r="J135" s="21">
        <f>Messdaten!W135-Messdaten!F135</f>
        <v>10093.16164</v>
      </c>
      <c r="K135" s="15">
        <f>(J135-MIN(J:J))/(MAX(J:J)-MIN(J:J))</f>
        <v>6.5919656081091446E-2</v>
      </c>
      <c r="L135" s="15">
        <f t="shared" si="24"/>
        <v>1.5680758634590954E-3</v>
      </c>
      <c r="M135" s="15">
        <v>532</v>
      </c>
      <c r="N135" s="21">
        <f>Messdaten!Z135-Messdaten!L135</f>
        <v>19456.195090000001</v>
      </c>
      <c r="O135" s="15">
        <f t="shared" si="25"/>
        <v>2.8710421248308155E-2</v>
      </c>
      <c r="P135" s="15">
        <f t="shared" si="26"/>
        <v>7072.5676612711186</v>
      </c>
      <c r="Q135" s="15">
        <v>612</v>
      </c>
      <c r="R135" s="15">
        <f>Messdaten!AE135-Messdaten!C135</f>
        <v>3999.32116</v>
      </c>
      <c r="S135" s="15">
        <f t="shared" si="27"/>
        <v>4.0148331416734996E-2</v>
      </c>
      <c r="U135" s="15">
        <v>612</v>
      </c>
      <c r="V135" s="15">
        <f>Messdaten!AH135-Messdaten!C135</f>
        <v>3960.9977400000002</v>
      </c>
      <c r="W135" s="15">
        <f t="shared" si="28"/>
        <v>4.4508398671371192E-2</v>
      </c>
      <c r="Y135" s="24">
        <f t="shared" si="29"/>
        <v>613</v>
      </c>
      <c r="Z135" s="15">
        <f t="shared" si="30"/>
        <v>9788281865729.9668</v>
      </c>
      <c r="AA135" s="15">
        <f t="shared" si="31"/>
        <v>9674808351637.5195</v>
      </c>
    </row>
    <row r="136" spans="1:27" x14ac:dyDescent="0.2">
      <c r="A136" s="15">
        <v>613</v>
      </c>
      <c r="B136" s="21">
        <f>Messdaten!Q136-Messdaten!C136</f>
        <v>4961.4837099999995</v>
      </c>
      <c r="C136" s="15">
        <f>(B136-MIN(B:B))/(MAX(B:B)-MIN(B:B))</f>
        <v>4.7591204018747883E-2</v>
      </c>
      <c r="D136" s="15">
        <f t="shared" si="23"/>
        <v>8.3178214216466989E-4</v>
      </c>
      <c r="I136" s="15">
        <v>753</v>
      </c>
      <c r="J136" s="21">
        <f>Messdaten!W136-Messdaten!F136</f>
        <v>8802.6264699999992</v>
      </c>
      <c r="K136" s="15">
        <f>(J136-MIN(J:J))/(MAX(J:J)-MIN(J:J))</f>
        <v>5.6399370797391921E-2</v>
      </c>
      <c r="L136" s="15">
        <f t="shared" si="24"/>
        <v>1.3675780290637589E-3</v>
      </c>
      <c r="M136" s="15">
        <v>533</v>
      </c>
      <c r="N136" s="21">
        <f>Messdaten!Z136-Messdaten!L136</f>
        <v>19989.522209999999</v>
      </c>
      <c r="O136" s="15">
        <f t="shared" si="25"/>
        <v>2.9485569971830106E-2</v>
      </c>
      <c r="P136" s="15">
        <f t="shared" si="26"/>
        <v>7266.4386686465305</v>
      </c>
      <c r="Q136" s="15">
        <v>613</v>
      </c>
      <c r="R136" s="15">
        <f>Messdaten!AE136-Messdaten!C136</f>
        <v>3995.4272099999998</v>
      </c>
      <c r="S136" s="15">
        <f t="shared" si="27"/>
        <v>4.0110595864791487E-2</v>
      </c>
      <c r="U136" s="15">
        <v>613</v>
      </c>
      <c r="V136" s="15">
        <f>Messdaten!AH136-Messdaten!C136</f>
        <v>3742.3434999999999</v>
      </c>
      <c r="W136" s="15">
        <f t="shared" si="28"/>
        <v>4.2325974592904214E-2</v>
      </c>
      <c r="Y136" s="23">
        <f t="shared" si="29"/>
        <v>614</v>
      </c>
      <c r="Z136" s="15">
        <f t="shared" si="30"/>
        <v>9561334837545.0723</v>
      </c>
      <c r="AA136" s="15">
        <f t="shared" si="31"/>
        <v>9508982582335.7813</v>
      </c>
    </row>
    <row r="137" spans="1:27" x14ac:dyDescent="0.2">
      <c r="A137" s="15">
        <v>614</v>
      </c>
      <c r="B137" s="21">
        <f>Messdaten!Q137-Messdaten!C137</f>
        <v>4817.3911399999997</v>
      </c>
      <c r="C137" s="15">
        <f>(B137-MIN(B:B))/(MAX(B:B)-MIN(B:B))</f>
        <v>4.6398339888851836E-2</v>
      </c>
      <c r="D137" s="15">
        <f t="shared" si="23"/>
        <v>8.0762533070461318E-4</v>
      </c>
      <c r="I137" s="15">
        <v>754</v>
      </c>
      <c r="J137" s="21">
        <f>Messdaten!W137-Messdaten!F137</f>
        <v>9141.242110000001</v>
      </c>
      <c r="K137" s="15">
        <f>(J137-MIN(J:J))/(MAX(J:J)-MIN(J:J))</f>
        <v>5.8897340298155326E-2</v>
      </c>
      <c r="L137" s="15">
        <f t="shared" si="24"/>
        <v>1.4201854310862789E-3</v>
      </c>
      <c r="M137" s="15">
        <v>534</v>
      </c>
      <c r="N137" s="21">
        <f>Messdaten!Z137-Messdaten!L137</f>
        <v>22193.700369999999</v>
      </c>
      <c r="O137" s="15">
        <f t="shared" si="25"/>
        <v>3.2689168332136559E-2</v>
      </c>
      <c r="P137" s="15">
        <f t="shared" si="26"/>
        <v>8067.6847037517464</v>
      </c>
      <c r="Q137" s="15">
        <v>614</v>
      </c>
      <c r="R137" s="15">
        <f>Messdaten!AE137-Messdaten!C137</f>
        <v>3541.25695</v>
      </c>
      <c r="S137" s="15">
        <f t="shared" si="27"/>
        <v>3.5709315561391057E-2</v>
      </c>
      <c r="U137" s="15">
        <v>614</v>
      </c>
      <c r="V137" s="15">
        <f>Messdaten!AH137-Messdaten!C137</f>
        <v>3600.7405100000001</v>
      </c>
      <c r="W137" s="15">
        <f t="shared" si="28"/>
        <v>4.0912611765094808E-2</v>
      </c>
      <c r="Y137" s="24">
        <f t="shared" si="29"/>
        <v>615</v>
      </c>
      <c r="Z137" s="15">
        <f t="shared" si="30"/>
        <v>9456630327126.4922</v>
      </c>
      <c r="AA137" s="15">
        <f t="shared" si="31"/>
        <v>9457003011902.8359</v>
      </c>
    </row>
    <row r="138" spans="1:27" x14ac:dyDescent="0.2">
      <c r="A138" s="15">
        <v>615</v>
      </c>
      <c r="B138" s="21">
        <f>Messdaten!Q138-Messdaten!C138</f>
        <v>4567.1141100000004</v>
      </c>
      <c r="C138" s="15">
        <f>(B138-MIN(B:B))/(MAX(B:B)-MIN(B:B))</f>
        <v>4.4326432283734396E-2</v>
      </c>
      <c r="D138" s="15">
        <f t="shared" si="23"/>
        <v>7.6566692142304553E-4</v>
      </c>
      <c r="I138" s="15">
        <v>755</v>
      </c>
      <c r="J138" s="21">
        <f>Messdaten!W138-Messdaten!F138</f>
        <v>7756.5665900000004</v>
      </c>
      <c r="K138" s="15">
        <f>(J138-MIN(J:J))/(MAX(J:J)-MIN(J:J))</f>
        <v>4.8682581117469849E-2</v>
      </c>
      <c r="L138" s="15">
        <f t="shared" si="24"/>
        <v>1.2050619307323628E-3</v>
      </c>
      <c r="M138" s="15">
        <v>535</v>
      </c>
      <c r="N138" s="21">
        <f>Messdaten!Z138-Messdaten!L138</f>
        <v>22392.747330000002</v>
      </c>
      <c r="O138" s="15">
        <f t="shared" si="25"/>
        <v>3.2978467321779024E-2</v>
      </c>
      <c r="P138" s="15">
        <f t="shared" si="26"/>
        <v>8140.0407366686823</v>
      </c>
      <c r="Q138" s="15">
        <v>615</v>
      </c>
      <c r="R138" s="15">
        <f>Messdaten!AE138-Messdaten!C138</f>
        <v>3740.1379699999998</v>
      </c>
      <c r="S138" s="15">
        <f t="shared" si="27"/>
        <v>3.7636634880023202E-2</v>
      </c>
      <c r="U138" s="15">
        <v>615</v>
      </c>
      <c r="V138" s="15">
        <f>Messdaten!AH138-Messdaten!C138</f>
        <v>3544.1307499999998</v>
      </c>
      <c r="W138" s="15">
        <f t="shared" si="28"/>
        <v>4.0347580401878448E-2</v>
      </c>
      <c r="Y138" s="23">
        <f t="shared" si="29"/>
        <v>616</v>
      </c>
      <c r="Z138" s="15">
        <f t="shared" si="30"/>
        <v>9457375696679.1777</v>
      </c>
      <c r="AA138" s="15">
        <f t="shared" si="31"/>
        <v>9577152386047.7109</v>
      </c>
    </row>
    <row r="139" spans="1:27" x14ac:dyDescent="0.2">
      <c r="A139" s="15">
        <v>616</v>
      </c>
      <c r="B139" s="21">
        <f>Messdaten!Q139-Messdaten!C139</f>
        <v>4462.0367800000004</v>
      </c>
      <c r="C139" s="15">
        <f>(B139-MIN(B:B))/(MAX(B:B)-MIN(B:B))</f>
        <v>4.3456554136497169E-2</v>
      </c>
      <c r="D139" s="15">
        <f t="shared" si="23"/>
        <v>7.4805093158029261E-4</v>
      </c>
      <c r="I139" s="15">
        <v>756</v>
      </c>
      <c r="J139" s="21">
        <f>Messdaten!W139-Messdaten!F139</f>
        <v>7460.4586099999997</v>
      </c>
      <c r="K139" s="15">
        <f>(J139-MIN(J:J))/(MAX(J:J)-MIN(J:J))</f>
        <v>4.6498190866113891E-2</v>
      </c>
      <c r="L139" s="15">
        <f t="shared" si="24"/>
        <v>1.1590585283321184E-3</v>
      </c>
      <c r="M139" s="15">
        <v>536</v>
      </c>
      <c r="N139" s="21">
        <f>Messdaten!Z139-Messdaten!L139</f>
        <v>23912.392370000001</v>
      </c>
      <c r="O139" s="15">
        <f t="shared" si="25"/>
        <v>3.5187151014748667E-2</v>
      </c>
      <c r="P139" s="15">
        <f t="shared" si="26"/>
        <v>8692.4505124135376</v>
      </c>
      <c r="Q139" s="15">
        <v>616</v>
      </c>
      <c r="R139" s="15">
        <f>Messdaten!AE139-Messdaten!C139</f>
        <v>3699.4951599999999</v>
      </c>
      <c r="S139" s="15">
        <f t="shared" si="27"/>
        <v>3.7242772897233212E-2</v>
      </c>
      <c r="U139" s="15">
        <v>616</v>
      </c>
      <c r="V139" s="15">
        <f>Messdaten!AH139-Messdaten!C139</f>
        <v>3315.3283199999996</v>
      </c>
      <c r="W139" s="15">
        <f t="shared" si="28"/>
        <v>3.8063865563127755E-2</v>
      </c>
      <c r="Y139" s="24">
        <f t="shared" si="29"/>
        <v>617</v>
      </c>
      <c r="Z139" s="15">
        <f t="shared" si="30"/>
        <v>9696929075416.2441</v>
      </c>
      <c r="AA139" s="15">
        <f t="shared" si="31"/>
        <v>9980284933183.1484</v>
      </c>
    </row>
    <row r="140" spans="1:27" x14ac:dyDescent="0.2">
      <c r="A140" s="15">
        <v>617</v>
      </c>
      <c r="B140" s="21">
        <f>Messdaten!Q140-Messdaten!C140</f>
        <v>4349.3337000000001</v>
      </c>
      <c r="C140" s="15">
        <f>(B140-MIN(B:B))/(MAX(B:B)-MIN(B:B))</f>
        <v>4.2523546546579069E-2</v>
      </c>
      <c r="D140" s="15">
        <f t="shared" si="23"/>
        <v>7.2915650104492431E-4</v>
      </c>
      <c r="I140" s="15">
        <v>757</v>
      </c>
      <c r="J140" s="21">
        <f>Messdaten!W140-Messdaten!F140</f>
        <v>7590.8194999999996</v>
      </c>
      <c r="K140" s="15">
        <f>(J140-MIN(J:J))/(MAX(J:J)-MIN(J:J))</f>
        <v>4.7459863892535148E-2</v>
      </c>
      <c r="L140" s="15">
        <f t="shared" si="24"/>
        <v>1.1793114255351049E-3</v>
      </c>
      <c r="M140" s="15">
        <v>537</v>
      </c>
      <c r="N140" s="21">
        <f>Messdaten!Z140-Messdaten!L140</f>
        <v>25877.308369999999</v>
      </c>
      <c r="O140" s="15">
        <f t="shared" si="25"/>
        <v>3.804300077770064E-2</v>
      </c>
      <c r="P140" s="15">
        <f t="shared" si="26"/>
        <v>9406.7217917890666</v>
      </c>
      <c r="Q140" s="15">
        <v>617</v>
      </c>
      <c r="R140" s="15">
        <f>Messdaten!AE140-Messdaten!C140</f>
        <v>3690.6864799999998</v>
      </c>
      <c r="S140" s="15">
        <f t="shared" si="27"/>
        <v>3.7157409602457031E-2</v>
      </c>
      <c r="U140" s="15">
        <v>617</v>
      </c>
      <c r="V140" s="15">
        <f>Messdaten!AH140-Messdaten!C140</f>
        <v>3172.7694899999997</v>
      </c>
      <c r="W140" s="15">
        <f t="shared" si="28"/>
        <v>3.6640962338428895E-2</v>
      </c>
      <c r="Y140" s="23">
        <f t="shared" si="29"/>
        <v>618</v>
      </c>
      <c r="Z140" s="15">
        <f t="shared" si="30"/>
        <v>10263640790950.053</v>
      </c>
      <c r="AA140" s="15">
        <f t="shared" si="31"/>
        <v>9920285267221.5977</v>
      </c>
    </row>
    <row r="141" spans="1:27" x14ac:dyDescent="0.2">
      <c r="A141" s="15">
        <v>618</v>
      </c>
      <c r="B141" s="21">
        <f>Messdaten!Q141-Messdaten!C141</f>
        <v>4462.8565500000004</v>
      </c>
      <c r="C141" s="15">
        <f>(B141-MIN(B:B))/(MAX(B:B)-MIN(B:B))</f>
        <v>4.3463340567107468E-2</v>
      </c>
      <c r="D141" s="15">
        <f t="shared" si="23"/>
        <v>7.4818836426908853E-4</v>
      </c>
      <c r="I141" s="15">
        <v>758</v>
      </c>
      <c r="J141" s="21">
        <f>Messdaten!W141-Messdaten!F141</f>
        <v>7654.7609699999994</v>
      </c>
      <c r="K141" s="15">
        <f>(J141-MIN(J:J))/(MAX(J:J)-MIN(J:J))</f>
        <v>4.7931560480129205E-2</v>
      </c>
      <c r="L141" s="15">
        <f t="shared" si="24"/>
        <v>1.1892453867018155E-3</v>
      </c>
      <c r="M141" s="15">
        <v>538</v>
      </c>
      <c r="N141" s="21">
        <f>Messdaten!Z141-Messdaten!L141</f>
        <v>26836.86967</v>
      </c>
      <c r="O141" s="15">
        <f t="shared" si="25"/>
        <v>3.9437647119398143E-2</v>
      </c>
      <c r="P141" s="15">
        <f t="shared" si="26"/>
        <v>9755.5341977088356</v>
      </c>
      <c r="Q141" s="15">
        <v>618</v>
      </c>
      <c r="R141" s="15">
        <f>Messdaten!AE141-Messdaten!C141</f>
        <v>3542.5816500000001</v>
      </c>
      <c r="S141" s="15">
        <f t="shared" si="27"/>
        <v>3.572215298499936E-2</v>
      </c>
      <c r="U141" s="15">
        <v>618</v>
      </c>
      <c r="V141" s="15">
        <f>Messdaten!AH141-Messdaten!C141</f>
        <v>3141.1084299999998</v>
      </c>
      <c r="W141" s="15">
        <f t="shared" si="28"/>
        <v>3.6324948069994006E-2</v>
      </c>
      <c r="Y141" s="24">
        <f t="shared" si="29"/>
        <v>619</v>
      </c>
      <c r="Z141" s="15">
        <f t="shared" si="30"/>
        <v>9576929743493.1426</v>
      </c>
      <c r="AA141" s="15">
        <f t="shared" si="31"/>
        <v>9634499404223.4141</v>
      </c>
    </row>
    <row r="142" spans="1:27" x14ac:dyDescent="0.2">
      <c r="A142" s="15">
        <v>619</v>
      </c>
      <c r="B142" s="21">
        <f>Messdaten!Q142-Messdaten!C142</f>
        <v>3920.6273199999996</v>
      </c>
      <c r="C142" s="15">
        <f>(B142-MIN(B:B))/(MAX(B:B)-MIN(B:B))</f>
        <v>3.8974519258360207E-2</v>
      </c>
      <c r="D142" s="15">
        <f t="shared" si="23"/>
        <v>6.5728479250795092E-4</v>
      </c>
      <c r="I142" s="15">
        <v>759</v>
      </c>
      <c r="J142" s="21">
        <f>Messdaten!W142-Messdaten!F142</f>
        <v>7394.3074299999998</v>
      </c>
      <c r="K142" s="15">
        <f>(J142-MIN(J:J))/(MAX(J:J)-MIN(J:J))</f>
        <v>4.6010193235291201E-2</v>
      </c>
      <c r="L142" s="15">
        <f t="shared" si="24"/>
        <v>1.1487812661225996E-3</v>
      </c>
      <c r="M142" s="15">
        <v>539</v>
      </c>
      <c r="N142" s="21">
        <f>Messdaten!Z142-Messdaten!L142</f>
        <v>27284.080859999998</v>
      </c>
      <c r="O142" s="15">
        <f t="shared" si="25"/>
        <v>4.0087633159997825E-2</v>
      </c>
      <c r="P142" s="15">
        <f t="shared" si="26"/>
        <v>9918.1009989524246</v>
      </c>
      <c r="Q142" s="15">
        <v>619</v>
      </c>
      <c r="R142" s="15">
        <f>Messdaten!AE142-Messdaten!C142</f>
        <v>3243.0932499999999</v>
      </c>
      <c r="S142" s="15">
        <f t="shared" si="27"/>
        <v>3.2819866084890778E-2</v>
      </c>
      <c r="U142" s="15">
        <v>619</v>
      </c>
      <c r="V142" s="15">
        <f>Messdaten!AH142-Messdaten!C142</f>
        <v>3105.6318099999999</v>
      </c>
      <c r="W142" s="15">
        <f t="shared" si="28"/>
        <v>3.5970850067089402E-2</v>
      </c>
      <c r="Y142" s="23">
        <f t="shared" si="29"/>
        <v>620</v>
      </c>
      <c r="Z142" s="15">
        <f t="shared" si="30"/>
        <v>9692069064953.6836</v>
      </c>
      <c r="AA142" s="15">
        <f t="shared" si="31"/>
        <v>10004285866264.703</v>
      </c>
    </row>
    <row r="143" spans="1:27" x14ac:dyDescent="0.2">
      <c r="A143" s="15">
        <v>620</v>
      </c>
      <c r="B143" s="21">
        <f>Messdaten!Q143-Messdaten!C143</f>
        <v>3795.4280200000003</v>
      </c>
      <c r="C143" s="15">
        <f>(B143-MIN(B:B))/(MAX(B:B)-MIN(B:B))</f>
        <v>3.7938062249799016E-2</v>
      </c>
      <c r="D143" s="15">
        <f t="shared" si="23"/>
        <v>6.3629539739180397E-4</v>
      </c>
      <c r="I143" s="15">
        <v>760</v>
      </c>
      <c r="J143" s="21">
        <f>Messdaten!W143-Messdaten!F143</f>
        <v>5725.5965799999994</v>
      </c>
      <c r="K143" s="15">
        <f>(J143-MIN(J:J))/(MAX(J:J)-MIN(J:J))</f>
        <v>3.3700103810913311E-2</v>
      </c>
      <c r="L143" s="15">
        <f t="shared" si="24"/>
        <v>8.8952997298891395E-4</v>
      </c>
      <c r="M143" s="15">
        <v>540</v>
      </c>
      <c r="N143" s="21">
        <f>Messdaten!Z143-Messdaten!L143</f>
        <v>28610.67138</v>
      </c>
      <c r="O143" s="15">
        <f t="shared" si="25"/>
        <v>4.2015727400197579E-2</v>
      </c>
      <c r="P143" s="15">
        <f t="shared" si="26"/>
        <v>10400.333067869289</v>
      </c>
      <c r="Q143" s="15">
        <v>620</v>
      </c>
      <c r="R143" s="15">
        <f>Messdaten!AE143-Messdaten!C143</f>
        <v>3381.0628500000003</v>
      </c>
      <c r="S143" s="15">
        <f t="shared" si="27"/>
        <v>3.415690405595484E-2</v>
      </c>
      <c r="U143" s="15">
        <v>620</v>
      </c>
      <c r="V143" s="15">
        <f>Messdaten!AH143-Messdaten!C143</f>
        <v>2943.8784599999999</v>
      </c>
      <c r="W143" s="15">
        <f t="shared" si="28"/>
        <v>3.4356363168446619E-2</v>
      </c>
      <c r="Y143" s="24">
        <f t="shared" si="29"/>
        <v>621</v>
      </c>
      <c r="Z143" s="15">
        <f t="shared" si="30"/>
        <v>10316502667575.725</v>
      </c>
      <c r="AA143" s="15">
        <f t="shared" si="31"/>
        <v>10142027361867.23</v>
      </c>
    </row>
    <row r="144" spans="1:27" x14ac:dyDescent="0.2">
      <c r="A144" s="15">
        <v>621</v>
      </c>
      <c r="B144" s="21">
        <f>Messdaten!Q144-Messdaten!C144</f>
        <v>3912.0273300000003</v>
      </c>
      <c r="C144" s="15">
        <f>(B144-MIN(B:B))/(MAX(B:B)-MIN(B:B))</f>
        <v>3.8903324611832192E-2</v>
      </c>
      <c r="D144" s="15">
        <f t="shared" si="23"/>
        <v>6.5584302256111501E-4</v>
      </c>
      <c r="I144" s="15">
        <v>761</v>
      </c>
      <c r="J144" s="21">
        <f>Messdaten!W144-Messdaten!F144</f>
        <v>6959.1106399999999</v>
      </c>
      <c r="K144" s="15">
        <f>(J144-MIN(J:J))/(MAX(J:J)-MIN(J:J))</f>
        <v>4.2799744042069855E-2</v>
      </c>
      <c r="L144" s="15">
        <f t="shared" si="24"/>
        <v>1.0811689949042941E-3</v>
      </c>
      <c r="M144" s="15">
        <v>541</v>
      </c>
      <c r="N144" s="21">
        <f>Messdaten!Z144-Messdaten!L144</f>
        <v>29608.692780000001</v>
      </c>
      <c r="O144" s="15">
        <f t="shared" si="25"/>
        <v>4.3466272450780399E-2</v>
      </c>
      <c r="P144" s="15">
        <f t="shared" si="26"/>
        <v>10763.126196034646</v>
      </c>
      <c r="Q144" s="15">
        <v>621</v>
      </c>
      <c r="R144" s="15">
        <f>Messdaten!AE144-Messdaten!C144</f>
        <v>3326.6233299999999</v>
      </c>
      <c r="S144" s="15">
        <f t="shared" si="27"/>
        <v>3.3629340698762375E-2</v>
      </c>
      <c r="U144" s="15">
        <v>621</v>
      </c>
      <c r="V144" s="15">
        <f>Messdaten!AH144-Messdaten!C144</f>
        <v>2902.7168099999999</v>
      </c>
      <c r="W144" s="15">
        <f t="shared" si="28"/>
        <v>3.3945521942274057E-2</v>
      </c>
      <c r="Y144" s="23">
        <f t="shared" si="29"/>
        <v>622</v>
      </c>
      <c r="Z144" s="15">
        <f t="shared" si="30"/>
        <v>9967552056158.7363</v>
      </c>
      <c r="AA144" s="15">
        <f t="shared" si="31"/>
        <v>9832736924380.8555</v>
      </c>
    </row>
    <row r="145" spans="1:27" x14ac:dyDescent="0.2">
      <c r="A145" s="15">
        <v>622</v>
      </c>
      <c r="B145" s="21">
        <f>Messdaten!Q145-Messdaten!C145</f>
        <v>3597.8122400000002</v>
      </c>
      <c r="C145" s="15">
        <f>(B145-MIN(B:B))/(MAX(B:B)-MIN(B:B))</f>
        <v>3.630210853293888E-2</v>
      </c>
      <c r="D145" s="15">
        <f t="shared" si="23"/>
        <v>6.0316553414492004E-4</v>
      </c>
      <c r="I145" s="15">
        <v>762</v>
      </c>
      <c r="J145" s="21">
        <f>Messdaten!W145-Messdaten!F145</f>
        <v>5484.0704699999997</v>
      </c>
      <c r="K145" s="15">
        <f>(J145-MIN(J:J))/(MAX(J:J)-MIN(J:J))</f>
        <v>3.1918364324757198E-2</v>
      </c>
      <c r="L145" s="15">
        <f t="shared" si="24"/>
        <v>8.5200642219337096E-4</v>
      </c>
      <c r="M145" s="15">
        <v>542</v>
      </c>
      <c r="N145" s="21">
        <f>Messdaten!Z145-Messdaten!L145</f>
        <v>31160.003570000001</v>
      </c>
      <c r="O145" s="15">
        <f t="shared" si="25"/>
        <v>4.5720979803097923E-2</v>
      </c>
      <c r="P145" s="15">
        <f t="shared" si="26"/>
        <v>11327.046863728514</v>
      </c>
      <c r="Q145" s="15">
        <v>622</v>
      </c>
      <c r="R145" s="15">
        <f>Messdaten!AE145-Messdaten!C145</f>
        <v>3258.2033300000003</v>
      </c>
      <c r="S145" s="15">
        <f t="shared" si="27"/>
        <v>3.2966295085959246E-2</v>
      </c>
      <c r="U145" s="15">
        <v>622</v>
      </c>
      <c r="V145" s="15">
        <f>Messdaten!AH145-Messdaten!C145</f>
        <v>2926.02963</v>
      </c>
      <c r="W145" s="15">
        <f t="shared" si="28"/>
        <v>3.4178211048622814E-2</v>
      </c>
      <c r="Y145" s="24">
        <f t="shared" si="29"/>
        <v>623</v>
      </c>
      <c r="Z145" s="15">
        <f t="shared" si="30"/>
        <v>9697921792602.9766</v>
      </c>
      <c r="AA145" s="15">
        <f t="shared" si="31"/>
        <v>10065772374817.789</v>
      </c>
    </row>
    <row r="146" spans="1:27" x14ac:dyDescent="0.2">
      <c r="A146" s="15">
        <v>623</v>
      </c>
      <c r="B146" s="21">
        <f>Messdaten!Q146-Messdaten!C146</f>
        <v>3338.9568000000004</v>
      </c>
      <c r="C146" s="15">
        <f>(B146-MIN(B:B))/(MAX(B:B)-MIN(B:B))</f>
        <v>3.4159184930393244E-2</v>
      </c>
      <c r="D146" s="15">
        <f t="shared" si="23"/>
        <v>5.5976897275740358E-4</v>
      </c>
      <c r="I146" s="15">
        <v>763</v>
      </c>
      <c r="J146" s="21">
        <f>Messdaten!W146-Messdaten!F146</f>
        <v>6782.7466700000004</v>
      </c>
      <c r="K146" s="15">
        <f>(J146-MIN(J:J))/(MAX(J:J)-MIN(J:J))</f>
        <v>4.1498706033035342E-2</v>
      </c>
      <c r="L146" s="15">
        <f t="shared" si="24"/>
        <v>1.0537690488413257E-3</v>
      </c>
      <c r="M146" s="15">
        <v>543</v>
      </c>
      <c r="N146" s="21">
        <f>Messdaten!Z146-Messdaten!L146</f>
        <v>32291.328960000003</v>
      </c>
      <c r="O146" s="15">
        <f t="shared" si="25"/>
        <v>4.7365271643997509E-2</v>
      </c>
      <c r="P146" s="15">
        <f t="shared" si="26"/>
        <v>11738.297641728856</v>
      </c>
      <c r="Q146" s="15">
        <v>623</v>
      </c>
      <c r="R146" s="15">
        <f>Messdaten!AE146-Messdaten!C146</f>
        <v>3191.2572400000004</v>
      </c>
      <c r="S146" s="15">
        <f t="shared" si="27"/>
        <v>3.231753286338071E-2</v>
      </c>
      <c r="U146" s="15">
        <v>623</v>
      </c>
      <c r="V146" s="15">
        <f>Messdaten!AH146-Messdaten!C146</f>
        <v>2820.5391</v>
      </c>
      <c r="W146" s="15">
        <f t="shared" si="28"/>
        <v>3.312529264776197E-2</v>
      </c>
      <c r="Y146" s="23">
        <f t="shared" si="29"/>
        <v>624</v>
      </c>
      <c r="Z146" s="15">
        <f t="shared" si="30"/>
        <v>10433622957032.602</v>
      </c>
      <c r="AA146" s="15">
        <f t="shared" si="31"/>
        <v>10432497844736.678</v>
      </c>
    </row>
    <row r="147" spans="1:27" x14ac:dyDescent="0.2">
      <c r="A147" s="15">
        <v>624</v>
      </c>
      <c r="B147" s="21">
        <f>Messdaten!Q147-Messdaten!C147</f>
        <v>3416.0935500000001</v>
      </c>
      <c r="C147" s="15">
        <f>(B147-MIN(B:B))/(MAX(B:B)-MIN(B:B))</f>
        <v>3.4797758190428504E-2</v>
      </c>
      <c r="D147" s="15">
        <f t="shared" si="23"/>
        <v>5.727007840672548E-4</v>
      </c>
      <c r="I147" s="15">
        <v>764</v>
      </c>
      <c r="J147" s="21">
        <f>Messdaten!W147-Messdaten!F147</f>
        <v>6175.0364800000007</v>
      </c>
      <c r="K147" s="15">
        <f>(J147-MIN(J:J))/(MAX(J:J)-MIN(J:J))</f>
        <v>3.7015624507553753E-2</v>
      </c>
      <c r="L147" s="15">
        <f t="shared" si="24"/>
        <v>9.5935505698167074E-4</v>
      </c>
      <c r="M147" s="15">
        <v>544</v>
      </c>
      <c r="N147" s="21">
        <f>Messdaten!Z147-Messdaten!L147</f>
        <v>33355.543530000003</v>
      </c>
      <c r="O147" s="15">
        <f t="shared" si="25"/>
        <v>4.8912023223945215E-2</v>
      </c>
      <c r="P147" s="15">
        <f t="shared" si="26"/>
        <v>12125.152806246819</v>
      </c>
      <c r="Q147" s="15">
        <v>624</v>
      </c>
      <c r="R147" s="15">
        <f>Messdaten!AE147-Messdaten!C147</f>
        <v>3279.6003500000002</v>
      </c>
      <c r="S147" s="15">
        <f t="shared" si="27"/>
        <v>3.3173649664124415E-2</v>
      </c>
      <c r="U147" s="15">
        <v>624</v>
      </c>
      <c r="V147" s="15">
        <f>Messdaten!AH147-Messdaten!C147</f>
        <v>2746.4637600000001</v>
      </c>
      <c r="W147" s="15">
        <f t="shared" si="28"/>
        <v>3.2385934446262532E-2</v>
      </c>
      <c r="Y147" s="23">
        <f>A148</f>
        <v>625</v>
      </c>
      <c r="Z147" s="15">
        <f t="shared" si="30"/>
        <v>10431372732440.754</v>
      </c>
      <c r="AA147" s="15">
        <f t="shared" si="31"/>
        <v>10647031443929.895</v>
      </c>
    </row>
    <row r="148" spans="1:27" x14ac:dyDescent="0.2">
      <c r="A148" s="15">
        <v>625</v>
      </c>
      <c r="B148" s="21">
        <f>Messdaten!Q148-Messdaten!C148</f>
        <v>3237.3598200000001</v>
      </c>
      <c r="C148" s="15">
        <f>(B148-MIN(B:B))/(MAX(B:B)-MIN(B:B))</f>
        <v>3.3318118710616844E-2</v>
      </c>
      <c r="D148" s="15">
        <f t="shared" si="23"/>
        <v>5.4273645615525565E-4</v>
      </c>
      <c r="I148" s="15">
        <v>765</v>
      </c>
      <c r="J148" s="21">
        <f>Messdaten!W148-Messdaten!F148</f>
        <v>7002.5732799999996</v>
      </c>
      <c r="K148" s="15">
        <f>(J148-MIN(J:J))/(MAX(J:J)-MIN(J:J))</f>
        <v>4.3120368184364814E-2</v>
      </c>
      <c r="L148" s="15">
        <f t="shared" si="24"/>
        <v>1.0879213604342503E-3</v>
      </c>
      <c r="M148" s="15">
        <v>545</v>
      </c>
      <c r="N148" s="21">
        <f>Messdaten!Z148-Messdaten!L148</f>
        <v>34649.152909999997</v>
      </c>
      <c r="O148" s="15">
        <f t="shared" si="25"/>
        <v>5.0792181989625498E-2</v>
      </c>
      <c r="P148" s="15">
        <f t="shared" si="26"/>
        <v>12595.395822673367</v>
      </c>
      <c r="Q148" s="15">
        <v>625</v>
      </c>
      <c r="R148" s="15">
        <f>Messdaten!AE148-Messdaten!C148</f>
        <v>3201.9761100000001</v>
      </c>
      <c r="S148" s="15">
        <f t="shared" si="27"/>
        <v>3.242140745747172E-2</v>
      </c>
      <c r="U148" s="15">
        <v>625</v>
      </c>
      <c r="V148" s="15">
        <f>Messdaten!AH148-Messdaten!C148</f>
        <v>2543.4976200000001</v>
      </c>
      <c r="W148" s="15">
        <f t="shared" si="28"/>
        <v>3.0360095884661813E-2</v>
      </c>
      <c r="Y148" s="24">
        <f>A149</f>
        <v>626</v>
      </c>
      <c r="Z148" s="15">
        <f t="shared" si="30"/>
        <v>10862690155419.037</v>
      </c>
      <c r="AA148" s="15">
        <f t="shared" si="31"/>
        <v>10827392855913.164</v>
      </c>
    </row>
    <row r="149" spans="1:27" x14ac:dyDescent="0.2">
      <c r="A149" s="15">
        <v>626</v>
      </c>
      <c r="B149" s="21">
        <f>Messdaten!Q149-Messdaten!C149</f>
        <v>3186.1863700000004</v>
      </c>
      <c r="C149" s="15">
        <f>(B149-MIN(B:B))/(MAX(B:B)-MIN(B:B))</f>
        <v>3.2894481510530614E-2</v>
      </c>
      <c r="D149" s="15">
        <f t="shared" si="23"/>
        <v>5.3415733661140526E-4</v>
      </c>
      <c r="I149" s="15">
        <v>766</v>
      </c>
      <c r="J149" s="21">
        <f>Messdaten!W149-Messdaten!F149</f>
        <v>4489.3301499999998</v>
      </c>
      <c r="K149" s="15">
        <f>(J149-MIN(J:J))/(MAX(J:J)-MIN(J:J))</f>
        <v>2.4580159330623984E-2</v>
      </c>
      <c r="L149" s="15">
        <f t="shared" si="24"/>
        <v>6.9746334225102131E-4</v>
      </c>
      <c r="M149" s="15">
        <v>546</v>
      </c>
      <c r="N149" s="21">
        <f>Messdaten!Z149-Messdaten!L149</f>
        <v>36460.120450000002</v>
      </c>
      <c r="O149" s="15">
        <f t="shared" si="25"/>
        <v>5.342427986038574E-2</v>
      </c>
      <c r="P149" s="15">
        <f t="shared" si="26"/>
        <v>13253.704931919441</v>
      </c>
      <c r="Q149" s="15">
        <v>626</v>
      </c>
      <c r="R149" s="15">
        <f>Messdaten!AE149-Messdaten!C149</f>
        <v>3389.4896699999999</v>
      </c>
      <c r="S149" s="15">
        <f t="shared" si="27"/>
        <v>3.423856681583326E-2</v>
      </c>
      <c r="U149" s="15">
        <v>626</v>
      </c>
      <c r="V149" s="15">
        <f>Messdaten!AH149-Messdaten!C149</f>
        <v>2578.17911</v>
      </c>
      <c r="W149" s="15">
        <f t="shared" si="28"/>
        <v>3.0706257563726948E-2</v>
      </c>
      <c r="Y149" s="23">
        <f t="shared" ref="Y149:Y212" si="32">A150</f>
        <v>627</v>
      </c>
      <c r="Z149" s="15">
        <f t="shared" si="30"/>
        <v>10792095556407.293</v>
      </c>
      <c r="AA149" s="15">
        <f t="shared" si="31"/>
        <v>10718046779171.465</v>
      </c>
    </row>
    <row r="150" spans="1:27" x14ac:dyDescent="0.2">
      <c r="A150" s="15">
        <v>627</v>
      </c>
      <c r="B150" s="21">
        <f>Messdaten!Q150-Messdaten!C150</f>
        <v>2996.1734500000002</v>
      </c>
      <c r="C150" s="15">
        <f>(B150-MIN(B:B))/(MAX(B:B)-MIN(B:B))</f>
        <v>3.1321467742472978E-2</v>
      </c>
      <c r="D150" s="15">
        <f t="shared" si="23"/>
        <v>5.0230207659754866E-4</v>
      </c>
      <c r="I150" s="15">
        <v>767</v>
      </c>
      <c r="J150" s="21">
        <f>Messdaten!W150-Messdaten!F150</f>
        <v>5309.2137300000004</v>
      </c>
      <c r="K150" s="15">
        <f>(J150-MIN(J:J))/(MAX(J:J)-MIN(J:J))</f>
        <v>3.0628445159998852E-2</v>
      </c>
      <c r="L150" s="15">
        <f t="shared" si="24"/>
        <v>8.2484063972234516E-4</v>
      </c>
      <c r="M150" s="15">
        <v>547</v>
      </c>
      <c r="N150" s="21">
        <f>Messdaten!Z150-Messdaten!L150</f>
        <v>37242.414239999998</v>
      </c>
      <c r="O150" s="15">
        <f t="shared" si="25"/>
        <v>5.4561281917842798E-2</v>
      </c>
      <c r="P150" s="15">
        <f t="shared" si="26"/>
        <v>13538.0784044907</v>
      </c>
      <c r="Q150" s="15">
        <v>627</v>
      </c>
      <c r="R150" s="15">
        <f>Messdaten!AE150-Messdaten!C150</f>
        <v>3335.4990700000003</v>
      </c>
      <c r="S150" s="15">
        <f t="shared" si="27"/>
        <v>3.3715353859641965E-2</v>
      </c>
      <c r="U150" s="15">
        <v>627</v>
      </c>
      <c r="V150" s="15">
        <f>Messdaten!AH150-Messdaten!C150</f>
        <v>2613.78818</v>
      </c>
      <c r="W150" s="15">
        <f t="shared" si="28"/>
        <v>3.1061677571954629E-2</v>
      </c>
      <c r="Y150" s="24">
        <f t="shared" si="32"/>
        <v>628</v>
      </c>
      <c r="Z150" s="15">
        <f t="shared" si="30"/>
        <v>10643998001935.639</v>
      </c>
      <c r="AA150" s="15">
        <f t="shared" si="31"/>
        <v>10545806770895.436</v>
      </c>
    </row>
    <row r="151" spans="1:27" x14ac:dyDescent="0.2">
      <c r="A151" s="15">
        <v>628</v>
      </c>
      <c r="B151" s="21">
        <f>Messdaten!Q151-Messdaten!C151</f>
        <v>2817.8617599999998</v>
      </c>
      <c r="C151" s="15">
        <f>(B151-MIN(B:B))/(MAX(B:B)-MIN(B:B))</f>
        <v>2.9845322102610043E-2</v>
      </c>
      <c r="D151" s="15">
        <f t="shared" si="23"/>
        <v>4.724085027897243E-4</v>
      </c>
      <c r="I151" s="15">
        <v>768</v>
      </c>
      <c r="J151" s="21">
        <f>Messdaten!W151-Messdaten!F151</f>
        <v>4870.9757</v>
      </c>
      <c r="K151" s="15">
        <f>(J151-MIN(J:J))/(MAX(J:J)-MIN(J:J))</f>
        <v>2.7395560722012963E-2</v>
      </c>
      <c r="L151" s="15">
        <f t="shared" si="24"/>
        <v>7.5675588077332831E-4</v>
      </c>
      <c r="M151" s="15">
        <v>548</v>
      </c>
      <c r="N151" s="21">
        <f>Messdaten!Z151-Messdaten!L151</f>
        <v>39330.74624</v>
      </c>
      <c r="O151" s="15">
        <f t="shared" si="25"/>
        <v>5.7596507060884546E-2</v>
      </c>
      <c r="P151" s="15">
        <f t="shared" si="26"/>
        <v>14297.212926984719</v>
      </c>
      <c r="Q151" s="15">
        <v>628</v>
      </c>
      <c r="R151" s="15">
        <f>Messdaten!AE151-Messdaten!C151</f>
        <v>3503.2325299999998</v>
      </c>
      <c r="S151" s="15">
        <f t="shared" si="27"/>
        <v>3.5340827913621635E-2</v>
      </c>
      <c r="U151" s="15">
        <v>628</v>
      </c>
      <c r="V151" s="15">
        <f>Messdaten!AH151-Messdaten!C151</f>
        <v>2606.0281</v>
      </c>
      <c r="W151" s="15">
        <f t="shared" si="28"/>
        <v>3.0984222931958485E-2</v>
      </c>
      <c r="Y151" s="23">
        <f t="shared" si="32"/>
        <v>629</v>
      </c>
      <c r="Z151" s="15">
        <f t="shared" si="30"/>
        <v>10447615539855.232</v>
      </c>
      <c r="AA151" s="15">
        <f t="shared" si="31"/>
        <v>10596508055035.031</v>
      </c>
    </row>
    <row r="152" spans="1:27" x14ac:dyDescent="0.2">
      <c r="A152" s="15">
        <v>629</v>
      </c>
      <c r="B152" s="21">
        <f>Messdaten!Q152-Messdaten!C152</f>
        <v>2580.7587199999998</v>
      </c>
      <c r="C152" s="15">
        <f>(B152-MIN(B:B))/(MAX(B:B)-MIN(B:B))</f>
        <v>2.7882474805866645E-2</v>
      </c>
      <c r="D152" s="15">
        <f t="shared" si="23"/>
        <v>4.3265868478116026E-4</v>
      </c>
      <c r="I152" s="15">
        <v>769</v>
      </c>
      <c r="J152" s="21">
        <f>Messdaten!W152-Messdaten!F152</f>
        <v>4237.9696300000005</v>
      </c>
      <c r="K152" s="15">
        <f>(J152-MIN(J:J))/(MAX(J:J)-MIN(J:J))</f>
        <v>2.2725871346005126E-2</v>
      </c>
      <c r="L152" s="15">
        <f t="shared" si="24"/>
        <v>6.5841191530503155E-4</v>
      </c>
      <c r="M152" s="15">
        <v>549</v>
      </c>
      <c r="N152" s="21">
        <f>Messdaten!Z152-Messdaten!L152</f>
        <v>40191.786870000004</v>
      </c>
      <c r="O152" s="15">
        <f t="shared" si="25"/>
        <v>5.8847961412662193E-2</v>
      </c>
      <c r="P152" s="15">
        <f t="shared" si="26"/>
        <v>14610.211850289539</v>
      </c>
      <c r="Q152" s="15">
        <v>629</v>
      </c>
      <c r="R152" s="15">
        <f>Messdaten!AE152-Messdaten!C152</f>
        <v>3606.7406900000001</v>
      </c>
      <c r="S152" s="15">
        <f t="shared" si="27"/>
        <v>3.6343906419574933E-2</v>
      </c>
      <c r="U152" s="15">
        <v>629</v>
      </c>
      <c r="V152" s="15">
        <f>Messdaten!AH152-Messdaten!C152</f>
        <v>2455.1170400000001</v>
      </c>
      <c r="W152" s="15">
        <f t="shared" si="28"/>
        <v>2.9477954720324565E-2</v>
      </c>
      <c r="Y152" s="24">
        <f t="shared" si="32"/>
        <v>630</v>
      </c>
      <c r="Z152" s="15">
        <f t="shared" si="30"/>
        <v>10745400570214.828</v>
      </c>
      <c r="AA152" s="15">
        <f t="shared" si="31"/>
        <v>11433971101969.492</v>
      </c>
    </row>
    <row r="153" spans="1:27" x14ac:dyDescent="0.2">
      <c r="A153" s="15">
        <v>630</v>
      </c>
      <c r="B153" s="21">
        <f>Messdaten!Q153-Messdaten!C153</f>
        <v>2522.5187299999998</v>
      </c>
      <c r="C153" s="15">
        <f>(B153-MIN(B:B))/(MAX(B:B)-MIN(B:B))</f>
        <v>2.740033755898081E-2</v>
      </c>
      <c r="D153" s="15">
        <f t="shared" si="23"/>
        <v>4.2289487490626115E-4</v>
      </c>
      <c r="I153" s="15">
        <v>770</v>
      </c>
      <c r="J153" s="21">
        <f>Messdaten!W153-Messdaten!F153</f>
        <v>5339.3006100000002</v>
      </c>
      <c r="K153" s="15">
        <f>(J153-MIN(J:J))/(MAX(J:J)-MIN(J:J))</f>
        <v>3.0850396244754205E-2</v>
      </c>
      <c r="L153" s="15">
        <f t="shared" si="24"/>
        <v>8.295149441690131E-4</v>
      </c>
      <c r="M153" s="15">
        <v>550</v>
      </c>
      <c r="N153" s="21">
        <f>Messdaten!Z153-Messdaten!L153</f>
        <v>40921.470629999996</v>
      </c>
      <c r="O153" s="15">
        <f t="shared" si="25"/>
        <v>5.9908498958809654E-2</v>
      </c>
      <c r="P153" s="15">
        <f t="shared" si="26"/>
        <v>14875.460925972542</v>
      </c>
      <c r="Q153" s="15">
        <v>630</v>
      </c>
      <c r="R153" s="15">
        <f>Messdaten!AE153-Messdaten!C153</f>
        <v>3798.8676799999998</v>
      </c>
      <c r="S153" s="15">
        <f t="shared" si="27"/>
        <v>3.8205773677987255E-2</v>
      </c>
      <c r="U153" s="15">
        <v>630</v>
      </c>
      <c r="V153" s="15">
        <f>Messdaten!AH153-Messdaten!C153</f>
        <v>2647.2284599999998</v>
      </c>
      <c r="W153" s="15">
        <f t="shared" si="28"/>
        <v>3.1395450529033697E-2</v>
      </c>
      <c r="Y153" s="23">
        <f t="shared" si="32"/>
        <v>631</v>
      </c>
      <c r="Z153" s="15">
        <f t="shared" si="30"/>
        <v>12122541633724.158</v>
      </c>
      <c r="AA153" s="15">
        <f t="shared" si="31"/>
        <v>12191232274052.881</v>
      </c>
    </row>
    <row r="154" spans="1:27" x14ac:dyDescent="0.2">
      <c r="A154" s="15">
        <v>631</v>
      </c>
      <c r="B154" s="21">
        <f>Messdaten!Q154-Messdaten!C154</f>
        <v>2676.43228</v>
      </c>
      <c r="C154" s="15">
        <f>(B154-MIN(B:B))/(MAX(B:B)-MIN(B:B))</f>
        <v>2.8674504248491328E-2</v>
      </c>
      <c r="D154" s="15">
        <f t="shared" si="23"/>
        <v>4.4869815267761337E-4</v>
      </c>
      <c r="I154" s="15">
        <v>771</v>
      </c>
      <c r="J154" s="21">
        <f>Messdaten!W154-Messdaten!F154</f>
        <v>3708.7193199999997</v>
      </c>
      <c r="K154" s="15">
        <f>(J154-MIN(J:J))/(MAX(J:J)-MIN(J:J))</f>
        <v>1.8821588801201314E-2</v>
      </c>
      <c r="L154" s="15">
        <f t="shared" si="24"/>
        <v>5.761874680564839E-4</v>
      </c>
      <c r="M154" s="15">
        <v>551</v>
      </c>
      <c r="N154" s="21">
        <f>Messdaten!Z154-Messdaten!L154</f>
        <v>43827.544129999995</v>
      </c>
      <c r="O154" s="15">
        <f t="shared" si="25"/>
        <v>6.4132246597943338E-2</v>
      </c>
      <c r="P154" s="15">
        <f t="shared" si="26"/>
        <v>15931.854602243855</v>
      </c>
      <c r="Q154" s="15">
        <v>631</v>
      </c>
      <c r="R154" s="15">
        <f>Messdaten!AE154-Messdaten!C154</f>
        <v>3987.5726800000002</v>
      </c>
      <c r="S154" s="15">
        <f t="shared" si="27"/>
        <v>4.0034479061851841E-2</v>
      </c>
      <c r="U154" s="15">
        <v>631</v>
      </c>
      <c r="V154" s="15">
        <f>Messdaten!AH154-Messdaten!C154</f>
        <v>2744.0537899999999</v>
      </c>
      <c r="W154" s="15">
        <f t="shared" si="28"/>
        <v>3.2361880137704947E-2</v>
      </c>
      <c r="Y154" s="24">
        <f t="shared" si="32"/>
        <v>632</v>
      </c>
      <c r="Z154" s="15">
        <f t="shared" si="30"/>
        <v>12259922914381.604</v>
      </c>
      <c r="AA154" s="15">
        <f t="shared" si="31"/>
        <v>12290984572226.43</v>
      </c>
    </row>
    <row r="155" spans="1:27" x14ac:dyDescent="0.2">
      <c r="A155" s="15">
        <v>632</v>
      </c>
      <c r="B155" s="21">
        <f>Messdaten!Q155-Messdaten!C155</f>
        <v>2574.0522700000001</v>
      </c>
      <c r="C155" s="15">
        <f>(B155-MIN(B:B))/(MAX(B:B)-MIN(B:B))</f>
        <v>2.7826955748611017E-2</v>
      </c>
      <c r="D155" s="15">
        <f t="shared" si="23"/>
        <v>4.3153436276916276E-4</v>
      </c>
      <c r="I155" s="15">
        <v>772</v>
      </c>
      <c r="J155" s="21">
        <f>Messdaten!W155-Messdaten!F155</f>
        <v>4459.2269300000007</v>
      </c>
      <c r="K155" s="15">
        <f>(J155-MIN(J:J))/(MAX(J:J)-MIN(J:J))</f>
        <v>2.435808770559577E-2</v>
      </c>
      <c r="L155" s="15">
        <f t="shared" si="24"/>
        <v>6.9278649921827688E-4</v>
      </c>
      <c r="M155" s="15">
        <v>552</v>
      </c>
      <c r="N155" s="21">
        <f>Messdaten!Z155-Messdaten!L155</f>
        <v>43448.943650000001</v>
      </c>
      <c r="O155" s="15">
        <f t="shared" si="25"/>
        <v>6.3581980789602685E-2</v>
      </c>
      <c r="P155" s="15">
        <f t="shared" si="26"/>
        <v>15794.228643056904</v>
      </c>
      <c r="Q155" s="15">
        <v>632</v>
      </c>
      <c r="R155" s="15">
        <f>Messdaten!AE155-Messdaten!C155</f>
        <v>4216.0281699999996</v>
      </c>
      <c r="S155" s="15">
        <f t="shared" si="27"/>
        <v>4.2248399119806962E-2</v>
      </c>
      <c r="U155" s="15">
        <v>632</v>
      </c>
      <c r="V155" s="15">
        <f>Messdaten!AH155-Messdaten!C155</f>
        <v>2738.2941500000002</v>
      </c>
      <c r="W155" s="15">
        <f t="shared" si="28"/>
        <v>3.2304392219705734E-2</v>
      </c>
      <c r="Y155" s="23">
        <f t="shared" si="32"/>
        <v>633</v>
      </c>
      <c r="Z155" s="15">
        <f t="shared" si="30"/>
        <v>12322046230071.254</v>
      </c>
      <c r="AA155" s="15">
        <f t="shared" si="31"/>
        <v>12318443931068.104</v>
      </c>
    </row>
    <row r="156" spans="1:27" x14ac:dyDescent="0.2">
      <c r="A156" s="15">
        <v>633</v>
      </c>
      <c r="B156" s="21">
        <f>Messdaten!Q156-Messdaten!C156</f>
        <v>2471.5115100000003</v>
      </c>
      <c r="C156" s="15">
        <f>(B156-MIN(B:B))/(MAX(B:B)-MIN(B:B))</f>
        <v>2.697807648678454E-2</v>
      </c>
      <c r="D156" s="15">
        <f t="shared" si="23"/>
        <v>4.1434362346670655E-4</v>
      </c>
      <c r="I156" s="15">
        <v>773</v>
      </c>
      <c r="J156" s="21">
        <f>Messdaten!W156-Messdaten!F156</f>
        <v>4441.6129599999995</v>
      </c>
      <c r="K156" s="15">
        <f>(J156-MIN(J:J))/(MAX(J:J)-MIN(J:J))</f>
        <v>2.4228149348798772E-2</v>
      </c>
      <c r="L156" s="15">
        <f t="shared" si="24"/>
        <v>6.9004998887574613E-4</v>
      </c>
      <c r="M156" s="15">
        <v>553</v>
      </c>
      <c r="N156" s="21">
        <f>Messdaten!Z156-Messdaten!L156</f>
        <v>46503.634669999999</v>
      </c>
      <c r="O156" s="15">
        <f t="shared" si="25"/>
        <v>6.8021732221907438E-2</v>
      </c>
      <c r="P156" s="15">
        <f t="shared" si="26"/>
        <v>16904.646626803966</v>
      </c>
      <c r="Q156" s="15">
        <v>633</v>
      </c>
      <c r="R156" s="15">
        <f>Messdaten!AE156-Messdaten!C156</f>
        <v>4554.9802899999995</v>
      </c>
      <c r="S156" s="15">
        <f t="shared" si="27"/>
        <v>4.5533121658776862E-2</v>
      </c>
      <c r="U156" s="15">
        <v>633</v>
      </c>
      <c r="V156" s="15">
        <f>Messdaten!AH156-Messdaten!C156</f>
        <v>2887.0901400000002</v>
      </c>
      <c r="W156" s="15">
        <f t="shared" si="28"/>
        <v>3.3789549568382489E-2</v>
      </c>
      <c r="Y156" s="24">
        <f t="shared" si="32"/>
        <v>634</v>
      </c>
      <c r="Z156" s="15">
        <f t="shared" si="30"/>
        <v>12314841632064.953</v>
      </c>
      <c r="AA156" s="15">
        <f t="shared" si="31"/>
        <v>12453877226216.121</v>
      </c>
    </row>
    <row r="157" spans="1:27" x14ac:dyDescent="0.2">
      <c r="A157" s="15">
        <v>634</v>
      </c>
      <c r="B157" s="21">
        <f>Messdaten!Q157-Messdaten!C157</f>
        <v>2319.9074599999999</v>
      </c>
      <c r="C157" s="15">
        <f>(B157-MIN(B:B))/(MAX(B:B)-MIN(B:B))</f>
        <v>2.5723028893477214E-2</v>
      </c>
      <c r="D157" s="15">
        <f t="shared" si="23"/>
        <v>3.8892752843535956E-4</v>
      </c>
      <c r="I157" s="15">
        <v>774</v>
      </c>
      <c r="J157" s="21">
        <f>Messdaten!W157-Messdaten!F157</f>
        <v>4652.9287699999995</v>
      </c>
      <c r="K157" s="15">
        <f>(J157-MIN(J:J))/(MAX(J:J)-MIN(J:J))</f>
        <v>2.5787027280158088E-2</v>
      </c>
      <c r="L157" s="15">
        <f t="shared" si="24"/>
        <v>7.2288006066565042E-4</v>
      </c>
      <c r="M157" s="15">
        <v>554</v>
      </c>
      <c r="N157" s="21">
        <f>Messdaten!Z157-Messdaten!L157</f>
        <v>47994.515400000004</v>
      </c>
      <c r="O157" s="15">
        <f t="shared" si="25"/>
        <v>7.018860926874311E-2</v>
      </c>
      <c r="P157" s="15">
        <f t="shared" si="26"/>
        <v>17446.600219941498</v>
      </c>
      <c r="Q157" s="15">
        <v>634</v>
      </c>
      <c r="R157" s="15">
        <f>Messdaten!AE157-Messdaten!C157</f>
        <v>4929.4196700000002</v>
      </c>
      <c r="S157" s="15">
        <f t="shared" si="27"/>
        <v>4.9161744695458018E-2</v>
      </c>
      <c r="U157" s="15">
        <v>634</v>
      </c>
      <c r="V157" s="15">
        <f>Messdaten!AH157-Messdaten!C157</f>
        <v>2825.6106300000001</v>
      </c>
      <c r="W157" s="15">
        <f t="shared" si="28"/>
        <v>3.3175912426215239E-2</v>
      </c>
      <c r="Y157" s="23">
        <f t="shared" si="32"/>
        <v>635</v>
      </c>
      <c r="Z157" s="15">
        <f t="shared" si="30"/>
        <v>12592912820367.289</v>
      </c>
      <c r="AA157" s="15">
        <f t="shared" si="31"/>
        <v>12172927049644.518</v>
      </c>
    </row>
    <row r="158" spans="1:27" x14ac:dyDescent="0.2">
      <c r="A158" s="15">
        <v>635</v>
      </c>
      <c r="B158" s="21">
        <f>Messdaten!Q158-Messdaten!C158</f>
        <v>2295.4746300000002</v>
      </c>
      <c r="C158" s="15">
        <f>(B158-MIN(B:B))/(MAX(B:B)-MIN(B:B))</f>
        <v>2.5520762763455052E-2</v>
      </c>
      <c r="D158" s="15">
        <f t="shared" si="23"/>
        <v>3.8483141669451399E-4</v>
      </c>
      <c r="I158" s="15">
        <v>775</v>
      </c>
      <c r="J158" s="21">
        <f>Messdaten!W158-Messdaten!F158</f>
        <v>4717.8498100000006</v>
      </c>
      <c r="K158" s="15">
        <f>(J158-MIN(J:J))/(MAX(J:J)-MIN(J:J))</f>
        <v>2.6265950161209427E-2</v>
      </c>
      <c r="L158" s="15">
        <f t="shared" si="24"/>
        <v>7.3296620804797494E-4</v>
      </c>
      <c r="M158" s="15">
        <v>555</v>
      </c>
      <c r="N158" s="21">
        <f>Messdaten!Z158-Messdaten!L158</f>
        <v>48497.81437</v>
      </c>
      <c r="O158" s="15">
        <f t="shared" si="25"/>
        <v>7.0920114454801175E-2</v>
      </c>
      <c r="P158" s="15">
        <f t="shared" si="26"/>
        <v>17629.55562323115</v>
      </c>
      <c r="Q158" s="15">
        <v>635</v>
      </c>
      <c r="R158" s="15">
        <f>Messdaten!AE158-Messdaten!C158</f>
        <v>5398.6359600000005</v>
      </c>
      <c r="S158" s="15">
        <f t="shared" si="27"/>
        <v>5.3708833303178889E-2</v>
      </c>
      <c r="U158" s="15">
        <v>635</v>
      </c>
      <c r="V158" s="15">
        <f>Messdaten!AH158-Messdaten!C158</f>
        <v>3112.9924900000001</v>
      </c>
      <c r="W158" s="15">
        <f t="shared" si="28"/>
        <v>3.6044318229727784E-2</v>
      </c>
      <c r="Y158" s="24">
        <f t="shared" si="32"/>
        <v>636</v>
      </c>
      <c r="Z158" s="15">
        <f t="shared" si="30"/>
        <v>11752941278921.746</v>
      </c>
      <c r="AA158" s="15">
        <f t="shared" si="31"/>
        <v>11596655873326.682</v>
      </c>
    </row>
    <row r="159" spans="1:27" x14ac:dyDescent="0.2">
      <c r="A159" s="15">
        <v>636</v>
      </c>
      <c r="B159" s="21">
        <f>Messdaten!Q159-Messdaten!C159</f>
        <v>2059.8329800000001</v>
      </c>
      <c r="C159" s="15">
        <f>(B159-MIN(B:B))/(MAX(B:B)-MIN(B:B))</f>
        <v>2.3570013520836083E-2</v>
      </c>
      <c r="D159" s="15">
        <f t="shared" si="23"/>
        <v>3.4532659759671687E-4</v>
      </c>
      <c r="I159" s="15">
        <v>776</v>
      </c>
      <c r="J159" s="21">
        <f>Messdaten!W159-Messdaten!F159</f>
        <v>4747.95964</v>
      </c>
      <c r="K159" s="15">
        <f>(J159-MIN(J:J))/(MAX(J:J)-MIN(J:J))</f>
        <v>2.6488070548245209E-2</v>
      </c>
      <c r="L159" s="15">
        <f t="shared" si="24"/>
        <v>7.3764407801180673E-4</v>
      </c>
      <c r="M159" s="15">
        <v>556</v>
      </c>
      <c r="N159" s="21">
        <f>Messdaten!Z159-Messdaten!L159</f>
        <v>49774.622839999996</v>
      </c>
      <c r="O159" s="15">
        <f t="shared" si="25"/>
        <v>7.277585442861409E-2</v>
      </c>
      <c r="P159" s="15">
        <f t="shared" si="26"/>
        <v>18093.691300982468</v>
      </c>
      <c r="Q159" s="15">
        <v>636</v>
      </c>
      <c r="R159" s="15">
        <f>Messdaten!AE159-Messdaten!C159</f>
        <v>5964.0446499999998</v>
      </c>
      <c r="S159" s="15">
        <f t="shared" si="27"/>
        <v>5.9188104734708639E-2</v>
      </c>
      <c r="U159" s="15">
        <v>636</v>
      </c>
      <c r="V159" s="15">
        <f>Messdaten!AH159-Messdaten!C159</f>
        <v>3426.4780499999997</v>
      </c>
      <c r="W159" s="15">
        <f t="shared" si="28"/>
        <v>3.9173269373760942E-2</v>
      </c>
      <c r="Y159" s="23">
        <f t="shared" si="32"/>
        <v>637</v>
      </c>
      <c r="Z159" s="15">
        <f t="shared" si="30"/>
        <v>11440370467731.617</v>
      </c>
      <c r="AA159" s="15">
        <f t="shared" si="31"/>
        <v>12023576382227.215</v>
      </c>
    </row>
    <row r="160" spans="1:27" x14ac:dyDescent="0.2">
      <c r="A160" s="15">
        <v>637</v>
      </c>
      <c r="B160" s="21">
        <f>Messdaten!Q160-Messdaten!C160</f>
        <v>1931.1448200000002</v>
      </c>
      <c r="C160" s="15">
        <f>(B160-MIN(B:B))/(MAX(B:B)-MIN(B:B))</f>
        <v>2.2504674135145876E-2</v>
      </c>
      <c r="D160" s="15">
        <f t="shared" si="23"/>
        <v>3.2375230255664913E-4</v>
      </c>
      <c r="I160" s="15">
        <v>777</v>
      </c>
      <c r="J160" s="21">
        <f>Messdaten!W160-Messdaten!F160</f>
        <v>4240.2565599999998</v>
      </c>
      <c r="K160" s="15">
        <f>(J160-MIN(J:J))/(MAX(J:J)-MIN(J:J))</f>
        <v>2.2742742041612626E-2</v>
      </c>
      <c r="L160" s="15">
        <f t="shared" si="24"/>
        <v>6.5876721326441501E-4</v>
      </c>
      <c r="M160" s="15">
        <v>557</v>
      </c>
      <c r="N160" s="21">
        <f>Messdaten!Z160-Messdaten!L160</f>
        <v>50433.282629999994</v>
      </c>
      <c r="O160" s="15">
        <f t="shared" si="25"/>
        <v>7.3733164260249381E-2</v>
      </c>
      <c r="P160" s="15">
        <f t="shared" si="26"/>
        <v>18333.122284737758</v>
      </c>
      <c r="Q160" s="15">
        <v>637</v>
      </c>
      <c r="R160" s="15">
        <f>Messdaten!AE160-Messdaten!C160</f>
        <v>6685.67688</v>
      </c>
      <c r="S160" s="15">
        <f t="shared" si="27"/>
        <v>6.6181309706337413E-2</v>
      </c>
      <c r="U160" s="15">
        <v>637</v>
      </c>
      <c r="V160" s="15">
        <f>Messdaten!AH160-Messdaten!C160</f>
        <v>3373.5353800000003</v>
      </c>
      <c r="W160" s="15">
        <f t="shared" si="28"/>
        <v>3.8644839841425645E-2</v>
      </c>
      <c r="Y160" s="24">
        <f t="shared" si="32"/>
        <v>638</v>
      </c>
      <c r="Z160" s="15">
        <f t="shared" si="30"/>
        <v>12606782296722.811</v>
      </c>
      <c r="AA160" s="15">
        <f t="shared" si="31"/>
        <v>11739121647365.719</v>
      </c>
    </row>
    <row r="161" spans="1:27" x14ac:dyDescent="0.2">
      <c r="A161" s="15">
        <v>638</v>
      </c>
      <c r="B161" s="21">
        <f>Messdaten!Q161-Messdaten!C161</f>
        <v>2034.8501099999999</v>
      </c>
      <c r="C161" s="15">
        <f>(B161-MIN(B:B))/(MAX(B:B)-MIN(B:B))</f>
        <v>2.3363193908382398E-2</v>
      </c>
      <c r="D161" s="15">
        <f t="shared" si="23"/>
        <v>3.411382728252098E-4</v>
      </c>
      <c r="I161" s="15">
        <v>778</v>
      </c>
      <c r="J161" s="21">
        <f>Messdaten!W161-Messdaten!F161</f>
        <v>4133.9352399999998</v>
      </c>
      <c r="K161" s="15">
        <f>(J161-MIN(J:J))/(MAX(J:J)-MIN(J:J))</f>
        <v>2.1958409059707525E-2</v>
      </c>
      <c r="L161" s="15">
        <f t="shared" si="24"/>
        <v>6.4224910906578744E-4</v>
      </c>
      <c r="M161" s="15">
        <v>558</v>
      </c>
      <c r="N161" s="21">
        <f>Messdaten!Z161-Messdaten!L161</f>
        <v>53138.292119999998</v>
      </c>
      <c r="O161" s="15">
        <f t="shared" si="25"/>
        <v>7.7664681287338236E-2</v>
      </c>
      <c r="P161" s="15">
        <f t="shared" si="26"/>
        <v>19316.426705458671</v>
      </c>
      <c r="Q161" s="15">
        <v>638</v>
      </c>
      <c r="R161" s="15">
        <f>Messdaten!AE161-Messdaten!C161</f>
        <v>6950.0995199999998</v>
      </c>
      <c r="S161" s="15">
        <f t="shared" si="27"/>
        <v>6.8743780787568362E-2</v>
      </c>
      <c r="U161" s="15">
        <v>638</v>
      </c>
      <c r="V161" s="15">
        <f>Messdaten!AH161-Messdaten!C161</f>
        <v>3929.7373899999998</v>
      </c>
      <c r="W161" s="15">
        <f t="shared" si="28"/>
        <v>4.4196383955620394E-2</v>
      </c>
      <c r="Y161" s="23">
        <f t="shared" si="32"/>
        <v>639</v>
      </c>
      <c r="Z161" s="15">
        <f t="shared" si="30"/>
        <v>10871460998008.625</v>
      </c>
      <c r="AA161" s="15">
        <f t="shared" si="31"/>
        <v>10946116322278.598</v>
      </c>
    </row>
    <row r="162" spans="1:27" x14ac:dyDescent="0.2">
      <c r="A162" s="15">
        <v>639</v>
      </c>
      <c r="B162" s="21">
        <f>Messdaten!Q162-Messdaten!C162</f>
        <v>1696.1739699999998</v>
      </c>
      <c r="C162" s="15">
        <f>(B162-MIN(B:B))/(MAX(B:B)-MIN(B:B))</f>
        <v>2.0559478081413292E-2</v>
      </c>
      <c r="D162" s="15">
        <f t="shared" si="23"/>
        <v>2.8435994164547051E-4</v>
      </c>
      <c r="I162" s="15">
        <v>779</v>
      </c>
      <c r="J162" s="21">
        <f>Messdaten!W162-Messdaten!F162</f>
        <v>2658.65933</v>
      </c>
      <c r="K162" s="15">
        <f>(J162-MIN(J:J))/(MAX(J:J)-MIN(J:J))</f>
        <v>1.1075290287075063E-2</v>
      </c>
      <c r="L162" s="15">
        <f t="shared" si="24"/>
        <v>4.1304991173542026E-4</v>
      </c>
      <c r="M162" s="15">
        <v>559</v>
      </c>
      <c r="N162" s="21">
        <f>Messdaten!Z162-Messdaten!L162</f>
        <v>54253.790119999998</v>
      </c>
      <c r="O162" s="15">
        <f t="shared" si="25"/>
        <v>7.928596927057692E-2</v>
      </c>
      <c r="P162" s="15">
        <f t="shared" si="26"/>
        <v>19721.924031349878</v>
      </c>
      <c r="Q162" s="15">
        <v>639</v>
      </c>
      <c r="R162" s="15">
        <f>Messdaten!AE162-Messdaten!C162</f>
        <v>7787.2587600000006</v>
      </c>
      <c r="S162" s="15">
        <f t="shared" si="27"/>
        <v>7.6856536725884703E-2</v>
      </c>
      <c r="U162" s="15">
        <v>639</v>
      </c>
      <c r="V162" s="15">
        <f>Messdaten!AH162-Messdaten!C162</f>
        <v>3996.1086199999995</v>
      </c>
      <c r="W162" s="15">
        <f t="shared" si="28"/>
        <v>4.48588461629367E-2</v>
      </c>
      <c r="Y162" s="24">
        <f t="shared" si="32"/>
        <v>640</v>
      </c>
      <c r="Z162" s="15">
        <f t="shared" si="30"/>
        <v>11020771646548.572</v>
      </c>
      <c r="AA162" s="15">
        <f t="shared" si="31"/>
        <v>11134200489657.695</v>
      </c>
    </row>
    <row r="163" spans="1:27" x14ac:dyDescent="0.2">
      <c r="A163" s="15">
        <v>640</v>
      </c>
      <c r="B163" s="21">
        <f>Messdaten!Q163-Messdaten!C163</f>
        <v>1679.8976600000001</v>
      </c>
      <c r="C163" s="15">
        <f>(B163-MIN(B:B))/(MAX(B:B)-MIN(B:B))</f>
        <v>2.0424735350639125E-2</v>
      </c>
      <c r="D163" s="15">
        <f t="shared" si="23"/>
        <v>2.8163125305357827E-4</v>
      </c>
      <c r="I163" s="15">
        <v>780</v>
      </c>
      <c r="J163" s="21">
        <f>Messdaten!W163-Messdaten!F163</f>
        <v>2656.0885800000001</v>
      </c>
      <c r="K163" s="15">
        <f>(J163-MIN(J:J))/(MAX(J:J)-MIN(J:J))</f>
        <v>1.1056325849714501E-2</v>
      </c>
      <c r="L163" s="15">
        <f t="shared" si="24"/>
        <v>4.126505194369742E-4</v>
      </c>
      <c r="M163" s="15">
        <v>560</v>
      </c>
      <c r="N163" s="21">
        <f>Messdaten!Z163-Messdaten!L163</f>
        <v>56572.746420000003</v>
      </c>
      <c r="O163" s="15">
        <f t="shared" si="25"/>
        <v>8.2656388565677058E-2</v>
      </c>
      <c r="P163" s="15">
        <f t="shared" si="26"/>
        <v>20564.893340580882</v>
      </c>
      <c r="Q163" s="15">
        <v>640</v>
      </c>
      <c r="R163" s="15">
        <f>Messdaten!AE163-Messdaten!C163</f>
        <v>9172.499029999999</v>
      </c>
      <c r="S163" s="15">
        <f t="shared" si="27"/>
        <v>9.0280644935497728E-2</v>
      </c>
      <c r="U163" s="15">
        <v>640</v>
      </c>
      <c r="V163" s="15">
        <f>Messdaten!AH163-Messdaten!C163</f>
        <v>4436.6388999999999</v>
      </c>
      <c r="W163" s="15">
        <f t="shared" si="28"/>
        <v>4.9255851637725549E-2</v>
      </c>
      <c r="Y163" s="23">
        <f t="shared" si="32"/>
        <v>641</v>
      </c>
      <c r="Z163" s="15">
        <f t="shared" si="30"/>
        <v>11247629332766.82</v>
      </c>
      <c r="AA163" s="15">
        <f t="shared" si="31"/>
        <v>11220868115457.254</v>
      </c>
    </row>
    <row r="164" spans="1:27" x14ac:dyDescent="0.2">
      <c r="A164" s="15">
        <v>641</v>
      </c>
      <c r="B164" s="21">
        <f>Messdaten!Q164-Messdaten!C164</f>
        <v>1673.00605</v>
      </c>
      <c r="C164" s="15">
        <f>(B164-MIN(B:B))/(MAX(B:B)-MIN(B:B))</f>
        <v>2.0367683454304474E-2</v>
      </c>
      <c r="D164" s="15">
        <f t="shared" si="23"/>
        <v>2.8047588936323505E-4</v>
      </c>
      <c r="I164" s="15">
        <v>781</v>
      </c>
      <c r="J164" s="21">
        <f>Messdaten!W164-Messdaten!F164</f>
        <v>2326.8491300000001</v>
      </c>
      <c r="K164" s="15">
        <f>(J164-MIN(J:J))/(MAX(J:J)-MIN(J:J))</f>
        <v>8.627524555869617E-3</v>
      </c>
      <c r="L164" s="15">
        <f t="shared" si="24"/>
        <v>3.6149980440259698E-4</v>
      </c>
      <c r="M164" s="15">
        <v>561</v>
      </c>
      <c r="N164" s="21">
        <f>Messdaten!Z164-Messdaten!L164</f>
        <v>57391.935570000001</v>
      </c>
      <c r="O164" s="15">
        <f t="shared" si="25"/>
        <v>8.3847015106374129E-2</v>
      </c>
      <c r="P164" s="15">
        <f t="shared" si="26"/>
        <v>20862.678733046032</v>
      </c>
      <c r="Q164" s="15">
        <v>641</v>
      </c>
      <c r="R164" s="15">
        <f>Messdaten!AE164-Messdaten!C164</f>
        <v>10591.624690000001</v>
      </c>
      <c r="S164" s="15">
        <f t="shared" si="27"/>
        <v>0.1040331302158156</v>
      </c>
      <c r="U164" s="15">
        <v>641</v>
      </c>
      <c r="V164" s="15">
        <f>Messdaten!AH164-Messdaten!C164</f>
        <v>4930.1680800000004</v>
      </c>
      <c r="W164" s="15">
        <f t="shared" si="28"/>
        <v>5.4181847885765654E-2</v>
      </c>
      <c r="Y164" s="24">
        <f t="shared" si="32"/>
        <v>642</v>
      </c>
      <c r="Z164" s="15">
        <f t="shared" si="30"/>
        <v>11194106898147.686</v>
      </c>
      <c r="AA164" s="15">
        <f t="shared" si="31"/>
        <v>11420341675161.453</v>
      </c>
    </row>
    <row r="165" spans="1:27" x14ac:dyDescent="0.2">
      <c r="A165" s="15">
        <v>642</v>
      </c>
      <c r="B165" s="21">
        <f>Messdaten!Q165-Messdaten!C165</f>
        <v>1621.9258199999999</v>
      </c>
      <c r="C165" s="15">
        <f>(B165-MIN(B:B))/(MAX(B:B)-MIN(B:B))</f>
        <v>1.9944817971970168E-2</v>
      </c>
      <c r="D165" s="15">
        <f t="shared" si="23"/>
        <v>2.7191239795318985E-4</v>
      </c>
      <c r="I165" s="15">
        <v>782</v>
      </c>
      <c r="J165" s="21">
        <f>Messdaten!W165-Messdaten!F165</f>
        <v>3078.1847699999998</v>
      </c>
      <c r="K165" s="15">
        <f>(J165-MIN(J:J))/(MAX(J:J)-MIN(J:J))</f>
        <v>1.4170131842280078E-2</v>
      </c>
      <c r="L165" s="15">
        <f t="shared" si="24"/>
        <v>4.7822747849150533E-4</v>
      </c>
      <c r="M165" s="15">
        <v>562</v>
      </c>
      <c r="N165" s="21">
        <f>Messdaten!Z165-Messdaten!L165</f>
        <v>59644.759099999996</v>
      </c>
      <c r="O165" s="15">
        <f t="shared" si="25"/>
        <v>8.7121315658725024E-2</v>
      </c>
      <c r="P165" s="15">
        <f t="shared" si="26"/>
        <v>21681.607962071801</v>
      </c>
      <c r="Q165" s="15">
        <v>642</v>
      </c>
      <c r="R165" s="15">
        <f>Messdaten!AE165-Messdaten!C165</f>
        <v>10962.15151</v>
      </c>
      <c r="S165" s="15">
        <f t="shared" si="27"/>
        <v>0.10762383735447235</v>
      </c>
      <c r="U165" s="15">
        <v>642</v>
      </c>
      <c r="V165" s="15">
        <f>Messdaten!AH165-Messdaten!C165</f>
        <v>5234.1891699999996</v>
      </c>
      <c r="W165" s="15">
        <f t="shared" si="28"/>
        <v>5.7216332591746077E-2</v>
      </c>
      <c r="Y165" s="23">
        <f t="shared" si="32"/>
        <v>643</v>
      </c>
      <c r="Z165" s="15">
        <f t="shared" si="30"/>
        <v>11646576452175.221</v>
      </c>
      <c r="AA165" s="15">
        <f t="shared" si="31"/>
        <v>11323202967050.16</v>
      </c>
    </row>
    <row r="166" spans="1:27" x14ac:dyDescent="0.2">
      <c r="A166" s="15">
        <v>643</v>
      </c>
      <c r="B166" s="21">
        <f>Messdaten!Q166-Messdaten!C166</f>
        <v>1649.4576299999999</v>
      </c>
      <c r="C166" s="15">
        <f>(B166-MIN(B:B))/(MAX(B:B)-MIN(B:B))</f>
        <v>2.0172738874346417E-2</v>
      </c>
      <c r="D166" s="15">
        <f t="shared" si="23"/>
        <v>2.76528047069061E-4</v>
      </c>
      <c r="I166" s="15">
        <v>783</v>
      </c>
      <c r="J166" s="21">
        <f>Messdaten!W166-Messdaten!F166</f>
        <v>3023.3070600000001</v>
      </c>
      <c r="K166" s="15">
        <f>(J166-MIN(J:J))/(MAX(J:J)-MIN(J:J))</f>
        <v>1.376529866371887E-2</v>
      </c>
      <c r="L166" s="15">
        <f t="shared" si="24"/>
        <v>4.6970166511783705E-4</v>
      </c>
      <c r="M166" s="15">
        <v>563</v>
      </c>
      <c r="N166" s="21">
        <f>Messdaten!Z166-Messdaten!L166</f>
        <v>61139.183710000005</v>
      </c>
      <c r="O166" s="15">
        <f t="shared" si="25"/>
        <v>8.9293343454426272E-2</v>
      </c>
      <c r="P166" s="15">
        <f t="shared" si="26"/>
        <v>22224.84979944041</v>
      </c>
      <c r="Q166" s="15">
        <v>643</v>
      </c>
      <c r="R166" s="15">
        <f>Messdaten!AE166-Messdaten!C166</f>
        <v>12534.48273</v>
      </c>
      <c r="S166" s="15">
        <f t="shared" si="27"/>
        <v>0.12286100948680787</v>
      </c>
      <c r="U166" s="15">
        <v>643</v>
      </c>
      <c r="V166" s="15">
        <f>Messdaten!AH166-Messdaten!C166</f>
        <v>5844.6374699999997</v>
      </c>
      <c r="W166" s="15">
        <f t="shared" si="28"/>
        <v>6.3309317884778712E-2</v>
      </c>
      <c r="Y166" s="24">
        <f t="shared" si="32"/>
        <v>644</v>
      </c>
      <c r="Z166" s="15">
        <f t="shared" si="30"/>
        <v>10999829481925.098</v>
      </c>
      <c r="AA166" s="15">
        <f t="shared" si="31"/>
        <v>11076767189739.57</v>
      </c>
    </row>
    <row r="167" spans="1:27" x14ac:dyDescent="0.2">
      <c r="A167" s="15">
        <v>644</v>
      </c>
      <c r="B167" s="21">
        <f>Messdaten!Q167-Messdaten!C167</f>
        <v>1542.47732</v>
      </c>
      <c r="C167" s="15">
        <f>(B167-MIN(B:B))/(MAX(B:B)-MIN(B:B))</f>
        <v>1.9287106989203693E-2</v>
      </c>
      <c r="D167" s="15">
        <f t="shared" si="23"/>
        <v>2.5859302669564124E-4</v>
      </c>
      <c r="I167" s="15">
        <v>784</v>
      </c>
      <c r="J167" s="21">
        <f>Messdaten!W167-Messdaten!F167</f>
        <v>2919.7677199999998</v>
      </c>
      <c r="K167" s="15">
        <f>(J167-MIN(J:J))/(MAX(J:J)-MIN(J:J))</f>
        <v>1.3001488364084832E-2</v>
      </c>
      <c r="L167" s="15">
        <f t="shared" si="24"/>
        <v>4.5361576995798451E-4</v>
      </c>
      <c r="M167" s="15">
        <v>564</v>
      </c>
      <c r="N167" s="21">
        <f>Messdaten!Z167-Messdaten!L167</f>
        <v>62604.469239999999</v>
      </c>
      <c r="O167" s="15">
        <f t="shared" si="25"/>
        <v>9.1423019905484459E-2</v>
      </c>
      <c r="P167" s="15">
        <f t="shared" si="26"/>
        <v>22757.499220669382</v>
      </c>
      <c r="Q167" s="15">
        <v>644</v>
      </c>
      <c r="R167" s="15">
        <f>Messdaten!AE167-Messdaten!C167</f>
        <v>13469.23603</v>
      </c>
      <c r="S167" s="15">
        <f t="shared" si="27"/>
        <v>0.13191953147772059</v>
      </c>
      <c r="U167" s="15">
        <v>644</v>
      </c>
      <c r="V167" s="15">
        <f>Messdaten!AH167-Messdaten!C167</f>
        <v>6208.0395200000003</v>
      </c>
      <c r="W167" s="15">
        <f t="shared" si="28"/>
        <v>6.693649375881737E-2</v>
      </c>
      <c r="Y167" s="23">
        <f t="shared" si="32"/>
        <v>645</v>
      </c>
      <c r="Z167" s="15">
        <f t="shared" si="30"/>
        <v>11153704897554.043</v>
      </c>
      <c r="AA167" s="15">
        <f t="shared" si="31"/>
        <v>10745806736100.922</v>
      </c>
    </row>
    <row r="168" spans="1:27" x14ac:dyDescent="0.2">
      <c r="A168" s="15">
        <v>645</v>
      </c>
      <c r="B168" s="21">
        <f>Messdaten!Q168-Messdaten!C168</f>
        <v>1537.5960700000001</v>
      </c>
      <c r="C168" s="15">
        <f>(B168-MIN(B:B))/(MAX(B:B)-MIN(B:B))</f>
        <v>1.924669777147613E-2</v>
      </c>
      <c r="D168" s="15">
        <f t="shared" si="23"/>
        <v>2.5777469556351277E-4</v>
      </c>
      <c r="I168" s="15">
        <v>785</v>
      </c>
      <c r="J168" s="21">
        <f>Messdaten!W168-Messdaten!F168</f>
        <v>4223.0682399999996</v>
      </c>
      <c r="K168" s="15">
        <f>(J168-MIN(J:J))/(MAX(J:J)-MIN(J:J))</f>
        <v>2.2615943707284768E-2</v>
      </c>
      <c r="L168" s="15">
        <f t="shared" si="24"/>
        <v>6.5609683200166017E-4</v>
      </c>
      <c r="M168" s="15">
        <v>565</v>
      </c>
      <c r="N168" s="21">
        <f>Messdaten!Z168-Messdaten!L168</f>
        <v>64820.700839999998</v>
      </c>
      <c r="O168" s="15">
        <f t="shared" si="25"/>
        <v>9.4644136986065344E-2</v>
      </c>
      <c r="P168" s="15">
        <f t="shared" si="26"/>
        <v>23563.12683036083</v>
      </c>
      <c r="Q168" s="15">
        <v>645</v>
      </c>
      <c r="R168" s="15">
        <f>Messdaten!AE168-Messdaten!C168</f>
        <v>15392.02406</v>
      </c>
      <c r="S168" s="15">
        <f t="shared" si="27"/>
        <v>0.15055291597994036</v>
      </c>
      <c r="U168" s="15">
        <v>645</v>
      </c>
      <c r="V168" s="15">
        <f>Messdaten!AH168-Messdaten!C168</f>
        <v>6804.0308799999993</v>
      </c>
      <c r="W168" s="15">
        <f t="shared" si="28"/>
        <v>7.2885181946260133E-2</v>
      </c>
      <c r="Y168" s="24">
        <f t="shared" si="32"/>
        <v>646</v>
      </c>
      <c r="Z168" s="15">
        <f t="shared" si="30"/>
        <v>10337908574647.801</v>
      </c>
      <c r="AA168" s="15">
        <f t="shared" si="31"/>
        <v>10176764316890.391</v>
      </c>
    </row>
    <row r="169" spans="1:27" x14ac:dyDescent="0.2">
      <c r="A169" s="15">
        <v>646</v>
      </c>
      <c r="B169" s="21">
        <f>Messdaten!Q169-Messdaten!C169</f>
        <v>1432.77881</v>
      </c>
      <c r="C169" s="15">
        <f>(B169-MIN(B:B))/(MAX(B:B)-MIN(B:B))</f>
        <v>1.8378972602524055E-2</v>
      </c>
      <c r="D169" s="15">
        <f t="shared" si="23"/>
        <v>2.4020230590053606E-4</v>
      </c>
      <c r="I169" s="15">
        <v>786</v>
      </c>
      <c r="J169" s="21">
        <f>Messdaten!W169-Messdaten!F169</f>
        <v>3037.5763200000001</v>
      </c>
      <c r="K169" s="15">
        <f>(J169-MIN(J:J))/(MAX(J:J)-MIN(J:J))</f>
        <v>1.3870563075836582E-2</v>
      </c>
      <c r="L169" s="15">
        <f t="shared" si="24"/>
        <v>4.7191854056217227E-4</v>
      </c>
      <c r="M169" s="15">
        <v>566</v>
      </c>
      <c r="N169" s="21">
        <f>Messdaten!Z169-Messdaten!L169</f>
        <v>69187.745519999997</v>
      </c>
      <c r="O169" s="15">
        <f t="shared" si="25"/>
        <v>0.1009912905102764</v>
      </c>
      <c r="P169" s="15">
        <f t="shared" si="26"/>
        <v>25150.601608251432</v>
      </c>
      <c r="Q169" s="15">
        <v>646</v>
      </c>
      <c r="R169" s="15">
        <f>Messdaten!AE169-Messdaten!C169</f>
        <v>16525.505870000001</v>
      </c>
      <c r="S169" s="15">
        <f t="shared" si="27"/>
        <v>0.16153727934317702</v>
      </c>
      <c r="U169" s="15">
        <v>646</v>
      </c>
      <c r="V169" s="15">
        <f>Messdaten!AH169-Messdaten!C169</f>
        <v>7359.2532699999992</v>
      </c>
      <c r="W169" s="15">
        <f t="shared" si="28"/>
        <v>7.8426948311458355E-2</v>
      </c>
      <c r="Y169" s="23">
        <f t="shared" si="32"/>
        <v>647</v>
      </c>
      <c r="Z169" s="15">
        <f t="shared" si="30"/>
        <v>10015620059132.979</v>
      </c>
      <c r="AA169" s="15">
        <f t="shared" si="31"/>
        <v>9603544826167.5039</v>
      </c>
    </row>
    <row r="170" spans="1:27" x14ac:dyDescent="0.2">
      <c r="A170" s="15">
        <v>647</v>
      </c>
      <c r="B170" s="21">
        <f>Messdaten!Q170-Messdaten!C170</f>
        <v>1377.1553000000001</v>
      </c>
      <c r="C170" s="15">
        <f>(B170-MIN(B:B))/(MAX(B:B)-MIN(B:B))</f>
        <v>1.7918495772539594E-2</v>
      </c>
      <c r="D170" s="15">
        <f t="shared" si="23"/>
        <v>2.3087714330668007E-4</v>
      </c>
      <c r="I170" s="15">
        <v>787</v>
      </c>
      <c r="J170" s="21">
        <f>Messdaten!W170-Messdaten!F170</f>
        <v>3523.17362</v>
      </c>
      <c r="K170" s="15">
        <f>(J170-MIN(J:J))/(MAX(J:J)-MIN(J:J))</f>
        <v>1.7452817117773481E-2</v>
      </c>
      <c r="L170" s="15">
        <f t="shared" si="24"/>
        <v>5.4736104635472844E-4</v>
      </c>
      <c r="M170" s="15">
        <v>567</v>
      </c>
      <c r="N170" s="21">
        <f>Messdaten!Z170-Messdaten!L170</f>
        <v>69147.420759999994</v>
      </c>
      <c r="O170" s="15">
        <f t="shared" si="25"/>
        <v>0.10093268166578274</v>
      </c>
      <c r="P170" s="15">
        <f t="shared" si="26"/>
        <v>25135.943059023011</v>
      </c>
      <c r="Q170" s="15">
        <v>647</v>
      </c>
      <c r="R170" s="15">
        <f>Messdaten!AE170-Messdaten!C170</f>
        <v>18336.64748</v>
      </c>
      <c r="S170" s="15">
        <f t="shared" si="27"/>
        <v>0.17908871896135445</v>
      </c>
      <c r="U170" s="15">
        <v>647</v>
      </c>
      <c r="V170" s="15">
        <f>Messdaten!AH170-Messdaten!C170</f>
        <v>8191.82071</v>
      </c>
      <c r="W170" s="15">
        <f t="shared" si="28"/>
        <v>8.6736941422058941E-2</v>
      </c>
      <c r="Y170" s="24">
        <f t="shared" si="32"/>
        <v>648</v>
      </c>
      <c r="Z170" s="15">
        <f t="shared" si="30"/>
        <v>9191469593202.0293</v>
      </c>
      <c r="AA170" s="15">
        <f t="shared" si="31"/>
        <v>9310404032833.4492</v>
      </c>
    </row>
    <row r="171" spans="1:27" x14ac:dyDescent="0.2">
      <c r="A171" s="15">
        <v>648</v>
      </c>
      <c r="B171" s="21">
        <f>Messdaten!Q171-Messdaten!C171</f>
        <v>1271.9928300000001</v>
      </c>
      <c r="C171" s="15">
        <f>(B171-MIN(B:B))/(MAX(B:B)-MIN(B:B))</f>
        <v>1.7047912797482172E-2</v>
      </c>
      <c r="D171" s="15">
        <f t="shared" si="23"/>
        <v>2.1324687992485636E-4</v>
      </c>
      <c r="I171" s="15">
        <v>788</v>
      </c>
      <c r="J171" s="21">
        <f>Messdaten!W171-Messdaten!F171</f>
        <v>4708.8576999999996</v>
      </c>
      <c r="K171" s="15">
        <f>(J171-MIN(J:J))/(MAX(J:J)-MIN(J:J))</f>
        <v>2.6199615314633787E-2</v>
      </c>
      <c r="L171" s="15">
        <f t="shared" si="24"/>
        <v>7.3156919181505435E-4</v>
      </c>
      <c r="M171" s="15">
        <v>568</v>
      </c>
      <c r="N171" s="21">
        <f>Messdaten!Z171-Messdaten!L171</f>
        <v>74528.435000000012</v>
      </c>
      <c r="O171" s="15">
        <f t="shared" si="25"/>
        <v>0.10875355962786623</v>
      </c>
      <c r="P171" s="15">
        <f t="shared" si="26"/>
        <v>27092.0083185775</v>
      </c>
      <c r="Q171" s="15">
        <v>648</v>
      </c>
      <c r="R171" s="15">
        <f>Messdaten!AE171-Messdaten!C171</f>
        <v>20421.328350000003</v>
      </c>
      <c r="S171" s="15">
        <f t="shared" si="27"/>
        <v>0.19929097714533744</v>
      </c>
      <c r="U171" s="15">
        <v>648</v>
      </c>
      <c r="V171" s="15">
        <f>Messdaten!AH171-Messdaten!C171</f>
        <v>9187.3655699999999</v>
      </c>
      <c r="W171" s="15">
        <f t="shared" si="28"/>
        <v>9.6673639076117826E-2</v>
      </c>
      <c r="Y171" s="23">
        <f t="shared" si="32"/>
        <v>649</v>
      </c>
      <c r="Z171" s="15">
        <f t="shared" si="30"/>
        <v>9429338472464.8691</v>
      </c>
      <c r="AA171" s="15">
        <f t="shared" si="31"/>
        <v>9551779408179.1621</v>
      </c>
    </row>
    <row r="172" spans="1:27" x14ac:dyDescent="0.2">
      <c r="A172" s="15">
        <v>649</v>
      </c>
      <c r="B172" s="21">
        <f>Messdaten!Q172-Messdaten!C172</f>
        <v>1324.86843</v>
      </c>
      <c r="C172" s="15">
        <f>(B172-MIN(B:B))/(MAX(B:B)-MIN(B:B))</f>
        <v>1.7485641172975314E-2</v>
      </c>
      <c r="D172" s="15">
        <f t="shared" si="23"/>
        <v>2.2211136127901204E-4</v>
      </c>
      <c r="I172" s="15">
        <v>789</v>
      </c>
      <c r="J172" s="21">
        <f>Messdaten!W172-Messdaten!F172</f>
        <v>1989.7256199999999</v>
      </c>
      <c r="K172" s="15">
        <f>(J172-MIN(J:J))/(MAX(J:J)-MIN(J:J))</f>
        <v>6.1405625065965776E-3</v>
      </c>
      <c r="L172" s="15">
        <f t="shared" si="24"/>
        <v>3.0912422003262236E-4</v>
      </c>
      <c r="M172" s="15">
        <v>569</v>
      </c>
      <c r="N172" s="21">
        <f>Messdaten!Z172-Messdaten!L172</f>
        <v>74420.86133</v>
      </c>
      <c r="O172" s="15">
        <f t="shared" si="25"/>
        <v>0.10859720981954393</v>
      </c>
      <c r="P172" s="15">
        <f t="shared" si="26"/>
        <v>27052.903958443003</v>
      </c>
      <c r="Q172" s="15">
        <v>649</v>
      </c>
      <c r="R172" s="15">
        <f>Messdaten!AE172-Messdaten!C172</f>
        <v>22517.68089</v>
      </c>
      <c r="S172" s="15">
        <f t="shared" si="27"/>
        <v>0.2196063433326467</v>
      </c>
      <c r="U172" s="15">
        <v>649</v>
      </c>
      <c r="V172" s="15">
        <f>Messdaten!AH172-Messdaten!C172</f>
        <v>9339.8101599999991</v>
      </c>
      <c r="W172" s="15">
        <f t="shared" si="28"/>
        <v>9.8195213703932152E-2</v>
      </c>
      <c r="Y172" s="24">
        <f t="shared" si="32"/>
        <v>650</v>
      </c>
      <c r="Z172" s="15">
        <f t="shared" si="30"/>
        <v>9674220343893.4551</v>
      </c>
      <c r="AA172" s="15">
        <f t="shared" si="31"/>
        <v>8108236848314.5186</v>
      </c>
    </row>
    <row r="173" spans="1:27" x14ac:dyDescent="0.2">
      <c r="A173" s="15">
        <v>650</v>
      </c>
      <c r="B173" s="21">
        <f>Messdaten!Q173-Messdaten!C173</f>
        <v>1410.2883400000001</v>
      </c>
      <c r="C173" s="15">
        <f>(B173-MIN(B:B))/(MAX(B:B)-MIN(B:B))</f>
        <v>1.819278621603998E-2</v>
      </c>
      <c r="D173" s="15">
        <f t="shared" si="23"/>
        <v>2.3643182666320927E-4</v>
      </c>
      <c r="I173" s="15">
        <v>790</v>
      </c>
      <c r="J173" s="21">
        <f>Messdaten!W173-Messdaten!F173</f>
        <v>3188.2783399999998</v>
      </c>
      <c r="K173" s="15">
        <f>(J173-MIN(J:J))/(MAX(J:J)-MIN(J:J))</f>
        <v>1.4982292733874332E-2</v>
      </c>
      <c r="L173" s="15">
        <f t="shared" si="24"/>
        <v>4.9533164029892923E-4</v>
      </c>
      <c r="M173" s="15">
        <v>570</v>
      </c>
      <c r="N173" s="21">
        <f>Messdaten!Z173-Messdaten!L173</f>
        <v>77786.672559999992</v>
      </c>
      <c r="O173" s="15">
        <f t="shared" si="25"/>
        <v>0.11348914983292699</v>
      </c>
      <c r="P173" s="15">
        <f t="shared" si="26"/>
        <v>28276.417988248155</v>
      </c>
      <c r="Q173" s="15">
        <v>650</v>
      </c>
      <c r="R173" s="15">
        <f>Messdaten!AE173-Messdaten!C173</f>
        <v>23857.458719999999</v>
      </c>
      <c r="S173" s="15">
        <f t="shared" si="27"/>
        <v>0.23258988341321377</v>
      </c>
      <c r="U173" s="15">
        <v>650</v>
      </c>
      <c r="V173" s="15">
        <f>Messdaten!AH173-Messdaten!C173</f>
        <v>10408.685170000001</v>
      </c>
      <c r="W173" s="15">
        <f t="shared" si="28"/>
        <v>0.10886383169503823</v>
      </c>
      <c r="Y173" s="23">
        <f t="shared" si="32"/>
        <v>651</v>
      </c>
      <c r="Z173" s="15">
        <f t="shared" si="30"/>
        <v>6542253352735.582</v>
      </c>
      <c r="AA173" s="15">
        <f t="shared" si="31"/>
        <v>6666996246780.8652</v>
      </c>
    </row>
    <row r="174" spans="1:27" x14ac:dyDescent="0.2">
      <c r="A174" s="15">
        <v>651</v>
      </c>
      <c r="B174" s="21">
        <f>Messdaten!Q174-Messdaten!C174</f>
        <v>979.47255999999993</v>
      </c>
      <c r="C174" s="15">
        <f>(B174-MIN(B:B))/(MAX(B:B)-MIN(B:B))</f>
        <v>1.4626296350842987E-2</v>
      </c>
      <c r="D174" s="15">
        <f t="shared" si="23"/>
        <v>1.642064817236522E-4</v>
      </c>
      <c r="I174" s="15">
        <v>791</v>
      </c>
      <c r="J174" s="21">
        <f>Messdaten!W174-Messdaten!F174</f>
        <v>1963.1329700000001</v>
      </c>
      <c r="K174" s="15">
        <f>(J174-MIN(J:J))/(MAX(J:J)-MIN(J:J))</f>
        <v>5.9443883764102841E-3</v>
      </c>
      <c r="L174" s="15">
        <f t="shared" si="24"/>
        <v>3.0499277994499338E-4</v>
      </c>
      <c r="M174" s="15">
        <v>571</v>
      </c>
      <c r="N174" s="21">
        <f>Messdaten!Z174-Messdaten!L174</f>
        <v>81651.251449999996</v>
      </c>
      <c r="O174" s="15">
        <f t="shared" si="25"/>
        <v>0.11910600913221292</v>
      </c>
      <c r="P174" s="15">
        <f t="shared" si="26"/>
        <v>29681.240234088673</v>
      </c>
      <c r="Q174" s="15">
        <v>651</v>
      </c>
      <c r="R174" s="15">
        <f>Messdaten!AE174-Messdaten!C174</f>
        <v>25786.171569999999</v>
      </c>
      <c r="S174" s="15">
        <f t="shared" si="27"/>
        <v>0.25128068425433514</v>
      </c>
      <c r="U174" s="15">
        <v>651</v>
      </c>
      <c r="V174" s="15">
        <f>Messdaten!AH174-Messdaten!C174</f>
        <v>10976.01974</v>
      </c>
      <c r="W174" s="15">
        <f t="shared" si="28"/>
        <v>0.11452649172904764</v>
      </c>
      <c r="Y174" s="24">
        <f t="shared" si="32"/>
        <v>652</v>
      </c>
      <c r="Z174" s="15">
        <f t="shared" si="30"/>
        <v>6791739140826.1494</v>
      </c>
      <c r="AA174" s="15">
        <f t="shared" si="31"/>
        <v>7157523806397.1465</v>
      </c>
    </row>
    <row r="175" spans="1:27" x14ac:dyDescent="0.2">
      <c r="A175" s="15">
        <v>652</v>
      </c>
      <c r="B175" s="21">
        <f>Messdaten!Q175-Messdaten!C175</f>
        <v>1053.30555</v>
      </c>
      <c r="C175" s="15">
        <f>(B175-MIN(B:B))/(MAX(B:B)-MIN(B:B))</f>
        <v>1.5237519576120833E-2</v>
      </c>
      <c r="D175" s="15">
        <f t="shared" si="23"/>
        <v>1.7658442472905667E-4</v>
      </c>
      <c r="I175" s="15">
        <v>792</v>
      </c>
      <c r="J175" s="21">
        <f>Messdaten!W175-Messdaten!F175</f>
        <v>4327.7752799999998</v>
      </c>
      <c r="K175" s="15">
        <f>(J175-MIN(J:J))/(MAX(J:J)-MIN(J:J))</f>
        <v>2.3388368136455298E-2</v>
      </c>
      <c r="L175" s="15">
        <f t="shared" si="24"/>
        <v>6.7236414129625763E-4</v>
      </c>
      <c r="M175" s="15">
        <v>572</v>
      </c>
      <c r="N175" s="21">
        <f>Messdaten!Z175-Messdaten!L175</f>
        <v>84611.520750000011</v>
      </c>
      <c r="O175" s="15">
        <f t="shared" si="25"/>
        <v>0.12340852607374073</v>
      </c>
      <c r="P175" s="15">
        <f t="shared" si="26"/>
        <v>30757.334754265165</v>
      </c>
      <c r="Q175" s="15">
        <v>652</v>
      </c>
      <c r="R175" s="15">
        <f>Messdaten!AE175-Messdaten!C175</f>
        <v>28254.0959</v>
      </c>
      <c r="S175" s="15">
        <f t="shared" si="27"/>
        <v>0.27519688419202304</v>
      </c>
      <c r="U175" s="15">
        <v>652</v>
      </c>
      <c r="V175" s="15">
        <f>Messdaten!AH175-Messdaten!C175</f>
        <v>12105.33783</v>
      </c>
      <c r="W175" s="15">
        <f t="shared" si="28"/>
        <v>0.12579840208333271</v>
      </c>
      <c r="Y175" s="23">
        <f t="shared" si="32"/>
        <v>653</v>
      </c>
      <c r="Z175" s="15">
        <f t="shared" si="30"/>
        <v>7523308471968.1445</v>
      </c>
      <c r="AA175" s="15">
        <f t="shared" si="31"/>
        <v>6600562419640.0996</v>
      </c>
    </row>
    <row r="176" spans="1:27" x14ac:dyDescent="0.2">
      <c r="A176" s="15">
        <v>653</v>
      </c>
      <c r="B176" s="21">
        <f>Messdaten!Q176-Messdaten!C176</f>
        <v>1209.51604</v>
      </c>
      <c r="C176" s="15">
        <f>(B176-MIN(B:B))/(MAX(B:B)-MIN(B:B))</f>
        <v>1.6530701384415918E-2</v>
      </c>
      <c r="D176" s="15">
        <f t="shared" si="23"/>
        <v>2.0277277958325265E-4</v>
      </c>
      <c r="I176" s="15">
        <v>793</v>
      </c>
      <c r="J176" s="21">
        <f>Messdaten!W176-Messdaten!F176</f>
        <v>2660.2218700000003</v>
      </c>
      <c r="K176" s="15">
        <f>(J176-MIN(J:J))/(MAX(J:J)-MIN(J:J))</f>
        <v>1.1086817153535584E-2</v>
      </c>
      <c r="L176" s="15">
        <f t="shared" si="24"/>
        <v>4.1329266830140846E-4</v>
      </c>
      <c r="M176" s="15">
        <v>573</v>
      </c>
      <c r="N176" s="21">
        <f>Messdaten!Z176-Messdaten!L176</f>
        <v>89370.928870000003</v>
      </c>
      <c r="O176" s="15">
        <f t="shared" si="25"/>
        <v>0.13032594877847398</v>
      </c>
      <c r="P176" s="15">
        <f t="shared" si="26"/>
        <v>32487.438497602121</v>
      </c>
      <c r="Q176" s="15">
        <v>653</v>
      </c>
      <c r="R176" s="15">
        <f>Messdaten!AE176-Messdaten!C176</f>
        <v>29732.08971</v>
      </c>
      <c r="S176" s="15">
        <f t="shared" si="27"/>
        <v>0.28951984986683577</v>
      </c>
      <c r="U176" s="15">
        <v>653</v>
      </c>
      <c r="V176" s="15">
        <f>Messdaten!AH176-Messdaten!C176</f>
        <v>12804.9208</v>
      </c>
      <c r="W176" s="15">
        <f t="shared" si="28"/>
        <v>0.13278105523752462</v>
      </c>
      <c r="Y176" s="24">
        <f t="shared" si="32"/>
        <v>654</v>
      </c>
      <c r="Z176" s="15">
        <f t="shared" si="30"/>
        <v>5677816367312.0547</v>
      </c>
      <c r="AA176" s="15">
        <f t="shared" si="31"/>
        <v>5749477025980.8145</v>
      </c>
    </row>
    <row r="177" spans="1:27" x14ac:dyDescent="0.2">
      <c r="A177" s="15">
        <v>654</v>
      </c>
      <c r="B177" s="21">
        <f>Messdaten!Q177-Messdaten!C177</f>
        <v>957.96971000000008</v>
      </c>
      <c r="C177" s="15">
        <f>(B177-MIN(B:B))/(MAX(B:B)-MIN(B:B))</f>
        <v>1.4448285933959346E-2</v>
      </c>
      <c r="D177" s="15">
        <f t="shared" si="23"/>
        <v>1.6060157486895541E-4</v>
      </c>
      <c r="I177" s="15">
        <v>794</v>
      </c>
      <c r="J177" s="21">
        <f>Messdaten!W177-Messdaten!F177</f>
        <v>1601.4111599999999</v>
      </c>
      <c r="K177" s="15">
        <f>(J177-MIN(J:J))/(MAX(J:J)-MIN(J:J))</f>
        <v>3.275964528235609E-3</v>
      </c>
      <c r="L177" s="15">
        <f t="shared" si="24"/>
        <v>2.487955981521397E-4</v>
      </c>
      <c r="M177" s="15">
        <v>574</v>
      </c>
      <c r="N177" s="21">
        <f>Messdaten!Z177-Messdaten!L177</f>
        <v>94896.28048999999</v>
      </c>
      <c r="O177" s="15">
        <f t="shared" si="25"/>
        <v>0.13835660968927285</v>
      </c>
      <c r="P177" s="15">
        <f t="shared" si="26"/>
        <v>34495.972180780969</v>
      </c>
      <c r="Q177" s="15">
        <v>654</v>
      </c>
      <c r="R177" s="15">
        <f>Messdaten!AE177-Messdaten!C177</f>
        <v>32173.536479999999</v>
      </c>
      <c r="S177" s="15">
        <f t="shared" si="27"/>
        <v>0.3131794606493683</v>
      </c>
      <c r="U177" s="15">
        <v>654</v>
      </c>
      <c r="V177" s="15">
        <f>Messdaten!AH177-Messdaten!C177</f>
        <v>13774.859759999999</v>
      </c>
      <c r="W177" s="15">
        <f t="shared" si="28"/>
        <v>0.14246217617507062</v>
      </c>
      <c r="Y177" s="23">
        <f t="shared" si="32"/>
        <v>655</v>
      </c>
      <c r="Z177" s="15">
        <f t="shared" si="30"/>
        <v>5821137684649.5732</v>
      </c>
      <c r="AA177" s="15">
        <f t="shared" si="31"/>
        <v>6023783773845.4434</v>
      </c>
    </row>
    <row r="178" spans="1:27" x14ac:dyDescent="0.2">
      <c r="A178" s="15">
        <v>655</v>
      </c>
      <c r="B178" s="21">
        <f>Messdaten!Q178-Messdaten!C178</f>
        <v>1025.4064100000001</v>
      </c>
      <c r="C178" s="15">
        <f>(B178-MIN(B:B))/(MAX(B:B)-MIN(B:B))</f>
        <v>1.5006557748172675E-2</v>
      </c>
      <c r="D178" s="15">
        <f t="shared" si="23"/>
        <v>1.7190719352360502E-4</v>
      </c>
      <c r="I178" s="15">
        <v>795</v>
      </c>
      <c r="J178" s="21">
        <f>Messdaten!W178-Messdaten!F178</f>
        <v>1651.2092799999998</v>
      </c>
      <c r="K178" s="15">
        <f>(J178-MIN(J:J))/(MAX(J:J)-MIN(J:J))</f>
        <v>3.6433255424975471E-3</v>
      </c>
      <c r="L178" s="15">
        <f t="shared" si="24"/>
        <v>2.565322452804462E-4</v>
      </c>
      <c r="M178" s="15">
        <v>575</v>
      </c>
      <c r="N178" s="21">
        <f>Messdaten!Z178-Messdaten!L178</f>
        <v>97892.549749999991</v>
      </c>
      <c r="O178" s="15">
        <f t="shared" si="25"/>
        <v>0.14271144972106622</v>
      </c>
      <c r="P178" s="15">
        <f t="shared" si="26"/>
        <v>35585.153131871892</v>
      </c>
      <c r="Q178" s="15">
        <v>655</v>
      </c>
      <c r="R178" s="15">
        <f>Messdaten!AE178-Messdaten!C178</f>
        <v>33480.271119999998</v>
      </c>
      <c r="S178" s="15">
        <f t="shared" si="27"/>
        <v>0.3258427852642452</v>
      </c>
      <c r="U178" s="15">
        <v>655</v>
      </c>
      <c r="V178" s="15">
        <f>Messdaten!AH178-Messdaten!C178</f>
        <v>14187.52377</v>
      </c>
      <c r="W178" s="15">
        <f t="shared" si="28"/>
        <v>0.1465810438070943</v>
      </c>
      <c r="Y178" s="24">
        <f t="shared" si="32"/>
        <v>656</v>
      </c>
      <c r="Z178" s="15">
        <f t="shared" si="30"/>
        <v>6226429863041.3135</v>
      </c>
      <c r="AA178" s="15">
        <f t="shared" si="31"/>
        <v>5247284073071.1982</v>
      </c>
    </row>
    <row r="179" spans="1:27" x14ac:dyDescent="0.2">
      <c r="A179" s="15">
        <v>656</v>
      </c>
      <c r="B179" s="21">
        <f>Messdaten!Q179-Messdaten!C179</f>
        <v>1163.1317100000001</v>
      </c>
      <c r="C179" s="15">
        <f>(B179-MIN(B:B))/(MAX(B:B)-MIN(B:B))</f>
        <v>1.6146710707823354E-2</v>
      </c>
      <c r="D179" s="15">
        <f t="shared" si="23"/>
        <v>1.9499654577389628E-4</v>
      </c>
      <c r="I179" s="15">
        <v>796</v>
      </c>
      <c r="J179" s="21">
        <f>Messdaten!W179-Messdaten!F179</f>
        <v>3606.6210000000001</v>
      </c>
      <c r="K179" s="15">
        <f>(J179-MIN(J:J))/(MAX(J:J)-MIN(J:J))</f>
        <v>1.8068408914297156E-2</v>
      </c>
      <c r="L179" s="15">
        <f t="shared" si="24"/>
        <v>5.6032545008807627E-4</v>
      </c>
      <c r="M179" s="15">
        <v>576</v>
      </c>
      <c r="N179" s="21">
        <f>Messdaten!Z179-Messdaten!L179</f>
        <v>101401.71217</v>
      </c>
      <c r="O179" s="15">
        <f t="shared" si="25"/>
        <v>0.14781173933411684</v>
      </c>
      <c r="P179" s="15">
        <f t="shared" si="26"/>
        <v>36860.777093033561</v>
      </c>
      <c r="Q179" s="15">
        <v>656</v>
      </c>
      <c r="R179" s="15">
        <f>Messdaten!AE179-Messdaten!C179</f>
        <v>35685.663979999998</v>
      </c>
      <c r="S179" s="15">
        <f t="shared" si="27"/>
        <v>0.34721484110070167</v>
      </c>
      <c r="U179" s="15">
        <v>656</v>
      </c>
      <c r="V179" s="15">
        <f>Messdaten!AH179-Messdaten!C179</f>
        <v>14395.611780000001</v>
      </c>
      <c r="W179" s="15">
        <f t="shared" si="28"/>
        <v>0.14865800459900155</v>
      </c>
      <c r="Y179" s="23">
        <f t="shared" si="32"/>
        <v>657</v>
      </c>
      <c r="Z179" s="15">
        <f t="shared" si="30"/>
        <v>4268138283101.0825</v>
      </c>
      <c r="AA179" s="15">
        <f t="shared" si="31"/>
        <v>4412783578394.9219</v>
      </c>
    </row>
    <row r="180" spans="1:27" x14ac:dyDescent="0.2">
      <c r="A180" s="15">
        <v>657</v>
      </c>
      <c r="B180" s="21">
        <f>Messdaten!Q180-Messdaten!C180</f>
        <v>854.87454000000002</v>
      </c>
      <c r="C180" s="15">
        <f>(B180-MIN(B:B))/(MAX(B:B)-MIN(B:B))</f>
        <v>1.3594817012844708E-2</v>
      </c>
      <c r="D180" s="15">
        <f t="shared" si="23"/>
        <v>1.4331788991467571E-4</v>
      </c>
      <c r="I180" s="15">
        <v>797</v>
      </c>
      <c r="J180" s="21">
        <f>Messdaten!W180-Messdaten!F180</f>
        <v>2521.9586900000004</v>
      </c>
      <c r="K180" s="15">
        <f>(J180-MIN(J:J))/(MAX(J:J)-MIN(J:J))</f>
        <v>1.0066848888872562E-2</v>
      </c>
      <c r="L180" s="15">
        <f t="shared" si="24"/>
        <v>3.9181206954592274E-4</v>
      </c>
      <c r="M180" s="15">
        <v>577</v>
      </c>
      <c r="N180" s="21">
        <f>Messdaten!Z180-Messdaten!L180</f>
        <v>106028.42228</v>
      </c>
      <c r="O180" s="15">
        <f t="shared" si="25"/>
        <v>0.15453629599246305</v>
      </c>
      <c r="P180" s="15">
        <f t="shared" si="26"/>
        <v>38542.643467763774</v>
      </c>
      <c r="Q180" s="15">
        <v>657</v>
      </c>
      <c r="R180" s="15">
        <f>Messdaten!AE180-Messdaten!C180</f>
        <v>36827.200209999995</v>
      </c>
      <c r="S180" s="15">
        <f t="shared" si="27"/>
        <v>0.35827725836403584</v>
      </c>
      <c r="U180" s="15">
        <v>657</v>
      </c>
      <c r="V180" s="15">
        <f>Messdaten!AH180-Messdaten!C180</f>
        <v>15700.49431</v>
      </c>
      <c r="W180" s="15">
        <f t="shared" si="28"/>
        <v>0.16168225262201219</v>
      </c>
      <c r="Y180" s="24">
        <f t="shared" si="32"/>
        <v>658</v>
      </c>
      <c r="Z180" s="15">
        <f t="shared" si="30"/>
        <v>4557428873688.7607</v>
      </c>
      <c r="AA180" s="15">
        <f t="shared" si="31"/>
        <v>4431921566293.5879</v>
      </c>
    </row>
    <row r="181" spans="1:27" x14ac:dyDescent="0.2">
      <c r="A181" s="15">
        <v>658</v>
      </c>
      <c r="B181" s="21">
        <f>Messdaten!Q181-Messdaten!C181</f>
        <v>967.11800999999991</v>
      </c>
      <c r="C181" s="15">
        <f>(B181-MIN(B:B))/(MAX(B:B)-MIN(B:B))</f>
        <v>1.4524019741188462E-2</v>
      </c>
      <c r="D181" s="15">
        <f t="shared" si="23"/>
        <v>1.6213526781564956E-4</v>
      </c>
      <c r="I181" s="15">
        <v>798</v>
      </c>
      <c r="J181" s="21">
        <f>Messdaten!W181-Messdaten!F181</f>
        <v>2609.63051</v>
      </c>
      <c r="K181" s="15">
        <f>(J181-MIN(J:J))/(MAX(J:J)-MIN(J:J))</f>
        <v>1.0713604403285355E-2</v>
      </c>
      <c r="L181" s="15">
        <f t="shared" si="24"/>
        <v>4.0543278322821444E-4</v>
      </c>
      <c r="M181" s="15">
        <v>578</v>
      </c>
      <c r="N181" s="21">
        <f>Messdaten!Z181-Messdaten!L181</f>
        <v>110746.37680999999</v>
      </c>
      <c r="O181" s="15">
        <f t="shared" si="25"/>
        <v>0.16139346918771347</v>
      </c>
      <c r="P181" s="15">
        <f t="shared" si="26"/>
        <v>40257.678318199454</v>
      </c>
      <c r="Q181" s="15">
        <v>658</v>
      </c>
      <c r="R181" s="15">
        <f>Messdaten!AE181-Messdaten!C181</f>
        <v>38897.347739999997</v>
      </c>
      <c r="S181" s="15">
        <f t="shared" si="27"/>
        <v>0.37833867662801918</v>
      </c>
      <c r="U181" s="15">
        <v>658</v>
      </c>
      <c r="V181" s="15">
        <f>Messdaten!AH181-Messdaten!C181</f>
        <v>16393.494580000002</v>
      </c>
      <c r="W181" s="15">
        <f t="shared" si="28"/>
        <v>0.16859920276042303</v>
      </c>
      <c r="Y181" s="23">
        <f t="shared" si="32"/>
        <v>659</v>
      </c>
      <c r="Z181" s="15">
        <f t="shared" si="30"/>
        <v>4306414258898.416</v>
      </c>
      <c r="AA181" s="15">
        <f t="shared" si="31"/>
        <v>3831905922605.3281</v>
      </c>
    </row>
    <row r="182" spans="1:27" x14ac:dyDescent="0.2">
      <c r="A182" s="15">
        <v>659</v>
      </c>
      <c r="B182" s="21">
        <f>Messdaten!Q182-Messdaten!C182</f>
        <v>1002.09608</v>
      </c>
      <c r="C182" s="15">
        <f>(B182-MIN(B:B))/(MAX(B:B)-MIN(B:B))</f>
        <v>1.481358418601718E-2</v>
      </c>
      <c r="D182" s="15">
        <f t="shared" si="23"/>
        <v>1.6799926650917462E-4</v>
      </c>
      <c r="I182" s="15">
        <v>799</v>
      </c>
      <c r="J182" s="21">
        <f>Messdaten!W182-Messdaten!F182</f>
        <v>1836.6897300000001</v>
      </c>
      <c r="K182" s="15">
        <f>(J182-MIN(J:J))/(MAX(J:J)-MIN(J:J))</f>
        <v>5.0116158763045425E-3</v>
      </c>
      <c r="L182" s="15">
        <f t="shared" si="24"/>
        <v>2.8534852972751982E-4</v>
      </c>
      <c r="M182" s="15">
        <v>579</v>
      </c>
      <c r="N182" s="21">
        <f>Messdaten!Z182-Messdaten!L182</f>
        <v>114129.72518000001</v>
      </c>
      <c r="O182" s="15">
        <f t="shared" si="25"/>
        <v>0.16631089804495139</v>
      </c>
      <c r="P182" s="15">
        <f t="shared" si="26"/>
        <v>41487.567315394772</v>
      </c>
      <c r="Q182" s="15">
        <v>659</v>
      </c>
      <c r="R182" s="15">
        <f>Messdaten!AE182-Messdaten!C182</f>
        <v>39978.290289999997</v>
      </c>
      <c r="S182" s="15">
        <f t="shared" si="27"/>
        <v>0.38881389170357789</v>
      </c>
      <c r="U182" s="15">
        <v>659</v>
      </c>
      <c r="V182" s="15">
        <f>Messdaten!AH182-Messdaten!C182</f>
        <v>16715.997530000001</v>
      </c>
      <c r="W182" s="15">
        <f t="shared" si="28"/>
        <v>0.17181815796319716</v>
      </c>
      <c r="Y182" s="24">
        <f t="shared" si="32"/>
        <v>660</v>
      </c>
      <c r="Z182" s="15">
        <f t="shared" si="30"/>
        <v>3357397586312.2407</v>
      </c>
    </row>
    <row r="183" spans="1:27" x14ac:dyDescent="0.2">
      <c r="A183" s="15">
        <v>660</v>
      </c>
      <c r="B183" s="21">
        <f>Messdaten!Q183-Messdaten!C183</f>
        <v>841.01576999999997</v>
      </c>
      <c r="C183" s="15">
        <f>(B183-MIN(B:B))/(MAX(B:B)-MIN(B:B))</f>
        <v>1.3480087782756858E-2</v>
      </c>
      <c r="D183" s="15">
        <f t="shared" si="23"/>
        <v>1.4099449673792626E-4</v>
      </c>
      <c r="I183" s="15">
        <v>800</v>
      </c>
      <c r="J183" s="21">
        <f>Messdaten!W183-Messdaten!F183</f>
        <v>2946.10241</v>
      </c>
      <c r="K183" s="15">
        <f>(J183-MIN(J:J))/(MAX(J:J)-MIN(J:J))</f>
        <v>1.3195759521885042E-2</v>
      </c>
      <c r="L183" s="15">
        <f t="shared" si="24"/>
        <v>4.577071333219698E-4</v>
      </c>
      <c r="M183" s="15">
        <v>580</v>
      </c>
      <c r="N183" s="21">
        <f>Messdaten!Z183-Messdaten!L183</f>
        <v>121444.06645000001</v>
      </c>
      <c r="O183" s="15">
        <f t="shared" si="25"/>
        <v>0.17694171370428713</v>
      </c>
      <c r="P183" s="15">
        <f t="shared" si="26"/>
        <v>44146.420872855822</v>
      </c>
      <c r="Q183" s="15">
        <v>660</v>
      </c>
      <c r="R183" s="15">
        <f>Messdaten!AE183-Messdaten!C183</f>
        <v>40922.1639</v>
      </c>
      <c r="S183" s="15">
        <f t="shared" si="27"/>
        <v>0.39796079693817532</v>
      </c>
      <c r="U183" s="15">
        <v>660</v>
      </c>
      <c r="V183" s="15">
        <f>Messdaten!AH183-Messdaten!C183</f>
        <v>17185.616290000002</v>
      </c>
      <c r="W183" s="15">
        <f t="shared" si="28"/>
        <v>0.17650550036059959</v>
      </c>
      <c r="Y183" s="22"/>
    </row>
    <row r="184" spans="1:27" x14ac:dyDescent="0.2">
      <c r="A184" s="15">
        <v>661</v>
      </c>
      <c r="B184" s="21">
        <f>Messdaten!Q184-Messdaten!C184</f>
        <v>781.02418</v>
      </c>
      <c r="C184" s="15">
        <f>(B184-MIN(B:B))/(MAX(B:B)-MIN(B:B))</f>
        <v>1.2983449990770564E-2</v>
      </c>
      <c r="D184" s="15">
        <f t="shared" si="23"/>
        <v>1.3093703486588787E-4</v>
      </c>
      <c r="M184" s="15">
        <v>581</v>
      </c>
      <c r="N184" s="21">
        <f>Messdaten!Z184-Messdaten!L184</f>
        <v>126305.80860999999</v>
      </c>
      <c r="O184" s="15">
        <f t="shared" si="25"/>
        <v>0.18400787083017422</v>
      </c>
      <c r="P184" s="15">
        <f t="shared" si="26"/>
        <v>45913.724305988399</v>
      </c>
      <c r="Q184" s="15">
        <v>661</v>
      </c>
      <c r="R184" s="15">
        <f>Messdaten!AE184-Messdaten!C184</f>
        <v>42476.249489999995</v>
      </c>
      <c r="S184" s="15">
        <f t="shared" si="27"/>
        <v>0.41302115403215461</v>
      </c>
      <c r="U184" s="15">
        <v>661</v>
      </c>
      <c r="V184" s="15">
        <f>Messdaten!AH184-Messdaten!C184</f>
        <v>17605.781500000001</v>
      </c>
      <c r="W184" s="15">
        <f t="shared" si="28"/>
        <v>0.1806992387085874</v>
      </c>
    </row>
    <row r="185" spans="1:27" x14ac:dyDescent="0.2">
      <c r="A185" s="15">
        <v>662</v>
      </c>
      <c r="B185" s="21">
        <f>Messdaten!Q185-Messdaten!C185</f>
        <v>763.98982000000001</v>
      </c>
      <c r="C185" s="15">
        <f>(B185-MIN(B:B))/(MAX(B:B)-MIN(B:B))</f>
        <v>1.2842431775745762E-2</v>
      </c>
      <c r="D185" s="15">
        <f t="shared" si="23"/>
        <v>1.2808126081131498E-4</v>
      </c>
      <c r="M185" s="15">
        <v>582</v>
      </c>
      <c r="N185" s="21">
        <f>Messdaten!Z185-Messdaten!L185</f>
        <v>132470.65556000001</v>
      </c>
      <c r="O185" s="15">
        <f t="shared" si="25"/>
        <v>0.19296798754803532</v>
      </c>
      <c r="P185" s="15">
        <f t="shared" si="26"/>
        <v>48154.722454576353</v>
      </c>
      <c r="Q185" s="15">
        <v>662</v>
      </c>
      <c r="R185" s="15">
        <f>Messdaten!AE185-Messdaten!C185</f>
        <v>42911.26786</v>
      </c>
      <c r="S185" s="15">
        <f t="shared" si="27"/>
        <v>0.41723683689852809</v>
      </c>
      <c r="U185" s="15">
        <v>662</v>
      </c>
      <c r="V185" s="15">
        <f>Messdaten!AH185-Messdaten!C185</f>
        <v>17815.173880000002</v>
      </c>
      <c r="W185" s="15">
        <f t="shared" si="28"/>
        <v>0.18278921863287109</v>
      </c>
      <c r="Y185" s="22"/>
    </row>
    <row r="186" spans="1:27" x14ac:dyDescent="0.2">
      <c r="A186" s="15">
        <v>663</v>
      </c>
      <c r="B186" s="21">
        <f>Messdaten!Q186-Messdaten!C186</f>
        <v>866.70057999999995</v>
      </c>
      <c r="C186" s="15">
        <f>(B186-MIN(B:B))/(MAX(B:B)-MIN(B:B))</f>
        <v>1.3692718375244696E-2</v>
      </c>
      <c r="D186" s="15">
        <f t="shared" si="23"/>
        <v>1.4530050025051111E-4</v>
      </c>
      <c r="M186" s="15">
        <v>583</v>
      </c>
      <c r="N186" s="21">
        <f>Messdaten!Z186-Messdaten!L186</f>
        <v>139212.50548999998</v>
      </c>
      <c r="O186" s="15">
        <f t="shared" si="25"/>
        <v>0.20276673239231782</v>
      </c>
      <c r="P186" s="15">
        <f t="shared" si="26"/>
        <v>50605.468326083785</v>
      </c>
      <c r="Q186" s="15">
        <v>663</v>
      </c>
      <c r="R186" s="15">
        <f>Messdaten!AE186-Messdaten!C186</f>
        <v>43759.28772</v>
      </c>
      <c r="S186" s="15">
        <f t="shared" si="27"/>
        <v>0.42545484110406634</v>
      </c>
      <c r="U186" s="15">
        <v>663</v>
      </c>
      <c r="V186" s="15">
        <f>Messdaten!AH186-Messdaten!C186</f>
        <v>18018.391919999998</v>
      </c>
      <c r="W186" s="15">
        <f t="shared" si="28"/>
        <v>0.18481757144997107</v>
      </c>
    </row>
    <row r="187" spans="1:27" x14ac:dyDescent="0.2">
      <c r="A187" s="15">
        <v>664</v>
      </c>
      <c r="B187" s="21">
        <f>Messdaten!Q187-Messdaten!C187</f>
        <v>902.15820000000008</v>
      </c>
      <c r="C187" s="15">
        <f>(B187-MIN(B:B))/(MAX(B:B)-MIN(B:B))</f>
        <v>1.3986252754078282E-2</v>
      </c>
      <c r="D187" s="15">
        <f t="shared" si="23"/>
        <v>1.5124489447682229E-4</v>
      </c>
      <c r="M187" s="15">
        <v>584</v>
      </c>
      <c r="N187" s="21">
        <f>Messdaten!Z187-Messdaten!L187</f>
        <v>144275.22803000003</v>
      </c>
      <c r="O187" s="15">
        <f t="shared" si="25"/>
        <v>0.21012499858066924</v>
      </c>
      <c r="P187" s="15">
        <f t="shared" si="26"/>
        <v>52445.830614226979</v>
      </c>
      <c r="Q187" s="15">
        <v>664</v>
      </c>
      <c r="R187" s="15">
        <f>Messdaten!AE187-Messdaten!C187</f>
        <v>44086.031510000001</v>
      </c>
      <c r="S187" s="15">
        <f t="shared" si="27"/>
        <v>0.42862125496653591</v>
      </c>
      <c r="U187" s="15">
        <v>664</v>
      </c>
      <c r="V187" s="15">
        <f>Messdaten!AH187-Messdaten!C187</f>
        <v>18264.987240000002</v>
      </c>
      <c r="W187" s="15">
        <f t="shared" si="28"/>
        <v>0.18727888006216756</v>
      </c>
      <c r="Y187" s="22"/>
    </row>
    <row r="188" spans="1:27" x14ac:dyDescent="0.2">
      <c r="A188" s="15">
        <v>665</v>
      </c>
      <c r="B188" s="21">
        <f>Messdaten!Q188-Messdaten!C188</f>
        <v>785.14783</v>
      </c>
      <c r="C188" s="15">
        <f>(B188-MIN(B:B))/(MAX(B:B)-MIN(B:B))</f>
        <v>1.3017587449553109E-2</v>
      </c>
      <c r="D188" s="15">
        <f t="shared" si="23"/>
        <v>1.3162835597687412E-4</v>
      </c>
      <c r="M188" s="15">
        <v>585</v>
      </c>
      <c r="N188" s="21">
        <f>Messdaten!Z188-Messdaten!L188</f>
        <v>151355.15031999999</v>
      </c>
      <c r="O188" s="15">
        <f t="shared" si="25"/>
        <v>0.2204151048211471</v>
      </c>
      <c r="P188" s="15">
        <f t="shared" si="26"/>
        <v>55019.469971816616</v>
      </c>
      <c r="Q188" s="15">
        <v>665</v>
      </c>
      <c r="R188" s="15">
        <f>Messdaten!AE188-Messdaten!C188</f>
        <v>44052.714660000005</v>
      </c>
      <c r="S188" s="15">
        <f t="shared" si="27"/>
        <v>0.42829838751221089</v>
      </c>
      <c r="U188" s="15">
        <v>665</v>
      </c>
      <c r="V188" s="15">
        <f>Messdaten!AH188-Messdaten!C188</f>
        <v>18275.903719999998</v>
      </c>
      <c r="W188" s="15">
        <f t="shared" si="28"/>
        <v>0.18738783925181826</v>
      </c>
    </row>
    <row r="189" spans="1:27" x14ac:dyDescent="0.2">
      <c r="A189" s="15">
        <v>666</v>
      </c>
      <c r="B189" s="21">
        <f>Messdaten!Q189-Messdaten!C189</f>
        <v>615.57276000000002</v>
      </c>
      <c r="C189" s="15">
        <f>(B189-MIN(B:B))/(MAX(B:B)-MIN(B:B))</f>
        <v>1.1613767541784012E-2</v>
      </c>
      <c r="D189" s="15">
        <f t="shared" si="23"/>
        <v>1.0319945784343173E-4</v>
      </c>
      <c r="M189" s="15">
        <v>586</v>
      </c>
      <c r="N189" s="21">
        <f>Messdaten!Z189-Messdaten!L189</f>
        <v>156535.84540999998</v>
      </c>
      <c r="O189" s="15">
        <f t="shared" si="25"/>
        <v>0.22794483476619459</v>
      </c>
      <c r="P189" s="15">
        <f t="shared" si="26"/>
        <v>56902.716741647397</v>
      </c>
      <c r="Q189" s="15">
        <v>666</v>
      </c>
      <c r="R189" s="15">
        <f>Messdaten!AE189-Messdaten!C189</f>
        <v>44077.408490000002</v>
      </c>
      <c r="S189" s="15">
        <f t="shared" si="27"/>
        <v>0.42853769086860966</v>
      </c>
      <c r="U189" s="15">
        <v>666</v>
      </c>
      <c r="V189" s="15">
        <f>Messdaten!AH189-Messdaten!C189</f>
        <v>18482.244290000002</v>
      </c>
      <c r="W189" s="15">
        <f t="shared" si="28"/>
        <v>0.1894473585565096</v>
      </c>
      <c r="Y189" s="22"/>
    </row>
    <row r="190" spans="1:27" x14ac:dyDescent="0.2">
      <c r="A190" s="15">
        <v>667</v>
      </c>
      <c r="B190" s="21">
        <f>Messdaten!Q190-Messdaten!C190</f>
        <v>685.99363000000005</v>
      </c>
      <c r="C190" s="15">
        <f>(B190-MIN(B:B))/(MAX(B:B)-MIN(B:B))</f>
        <v>1.2196743678715104E-2</v>
      </c>
      <c r="D190" s="15">
        <f t="shared" si="23"/>
        <v>1.1500536622193566E-4</v>
      </c>
      <c r="M190" s="15">
        <v>587</v>
      </c>
      <c r="N190" s="21">
        <f>Messdaten!Z190-Messdaten!L190</f>
        <v>162173.13993999999</v>
      </c>
      <c r="O190" s="15">
        <f t="shared" si="25"/>
        <v>0.23613819582956369</v>
      </c>
      <c r="P190" s="15">
        <f t="shared" si="26"/>
        <v>58951.94305776462</v>
      </c>
      <c r="Q190" s="15">
        <v>667</v>
      </c>
      <c r="R190" s="15">
        <f>Messdaten!AE190-Messdaten!C190</f>
        <v>44466.995779999997</v>
      </c>
      <c r="S190" s="15">
        <f t="shared" si="27"/>
        <v>0.43231310950991858</v>
      </c>
      <c r="U190" s="15">
        <v>667</v>
      </c>
      <c r="V190" s="15">
        <f>Messdaten!AH190-Messdaten!C190</f>
        <v>17920.645820000002</v>
      </c>
      <c r="W190" s="15">
        <f t="shared" si="28"/>
        <v>0.18384195148387192</v>
      </c>
    </row>
    <row r="191" spans="1:27" x14ac:dyDescent="0.2">
      <c r="A191" s="15">
        <v>668</v>
      </c>
      <c r="B191" s="21">
        <f>Messdaten!Q191-Messdaten!C191</f>
        <v>768.53790000000004</v>
      </c>
      <c r="C191" s="15">
        <f>(B191-MIN(B:B))/(MAX(B:B)-MIN(B:B))</f>
        <v>1.2880082859989022E-2</v>
      </c>
      <c r="D191" s="15">
        <f t="shared" si="23"/>
        <v>1.2884373670486905E-4</v>
      </c>
      <c r="M191" s="15">
        <v>588</v>
      </c>
      <c r="N191" s="21">
        <f>Messdaten!Z191-Messdaten!L191</f>
        <v>167734.94845</v>
      </c>
      <c r="O191" s="15">
        <f t="shared" si="25"/>
        <v>0.24422184394218927</v>
      </c>
      <c r="P191" s="15">
        <f t="shared" si="26"/>
        <v>60973.729271566845</v>
      </c>
      <c r="Q191" s="15">
        <v>668</v>
      </c>
      <c r="R191" s="15">
        <f>Messdaten!AE191-Messdaten!C191</f>
        <v>43569.921539999996</v>
      </c>
      <c r="S191" s="15">
        <f t="shared" si="27"/>
        <v>0.42361972834665196</v>
      </c>
      <c r="U191" s="15">
        <v>668</v>
      </c>
      <c r="V191" s="15">
        <f>Messdaten!AH191-Messdaten!C191</f>
        <v>18037.504809999999</v>
      </c>
      <c r="W191" s="15">
        <f t="shared" si="28"/>
        <v>0.18500834036140443</v>
      </c>
      <c r="Y191" s="22"/>
    </row>
    <row r="192" spans="1:27" x14ac:dyDescent="0.2">
      <c r="A192" s="15">
        <v>669</v>
      </c>
      <c r="B192" s="21">
        <f>Messdaten!Q192-Messdaten!C192</f>
        <v>585.51826000000005</v>
      </c>
      <c r="C192" s="15">
        <f>(B192-MIN(B:B))/(MAX(B:B)-MIN(B:B))</f>
        <v>1.1364962658978737E-2</v>
      </c>
      <c r="D192" s="15">
        <f t="shared" si="23"/>
        <v>9.8160885139604782E-5</v>
      </c>
      <c r="M192" s="15">
        <v>589</v>
      </c>
      <c r="N192" s="21">
        <f>Messdaten!Z192-Messdaten!L192</f>
        <v>173740.02395</v>
      </c>
      <c r="O192" s="15">
        <f t="shared" si="25"/>
        <v>0.2529497455131387</v>
      </c>
      <c r="P192" s="15">
        <f t="shared" si="26"/>
        <v>63156.648521108124</v>
      </c>
      <c r="Q192" s="15">
        <v>669</v>
      </c>
      <c r="R192" s="15">
        <f>Messdaten!AE192-Messdaten!C192</f>
        <v>42329.12212</v>
      </c>
      <c r="S192" s="15">
        <f t="shared" si="27"/>
        <v>0.41159536979944839</v>
      </c>
      <c r="U192" s="15">
        <v>669</v>
      </c>
      <c r="V192" s="15">
        <f>Messdaten!AH192-Messdaten!C192</f>
        <v>17906.685710000002</v>
      </c>
      <c r="W192" s="15">
        <f t="shared" si="28"/>
        <v>0.18370261332055962</v>
      </c>
    </row>
    <row r="193" spans="1:25" x14ac:dyDescent="0.2">
      <c r="A193" s="15">
        <v>670</v>
      </c>
      <c r="B193" s="21">
        <f>Messdaten!Q193-Messdaten!C193</f>
        <v>590.28242999999998</v>
      </c>
      <c r="C193" s="15">
        <f>(B193-MIN(B:B))/(MAX(B:B)-MIN(B:B))</f>
        <v>1.1404402634972827E-2</v>
      </c>
      <c r="D193" s="15">
        <f t="shared" si="23"/>
        <v>9.8959588059912586E-5</v>
      </c>
      <c r="M193" s="15">
        <v>590</v>
      </c>
      <c r="N193" s="21">
        <f>Messdaten!Z193-Messdaten!L193</f>
        <v>180089.9319</v>
      </c>
      <c r="O193" s="15">
        <f t="shared" si="25"/>
        <v>0.26217883373562473</v>
      </c>
      <c r="P193" s="15">
        <f t="shared" si="26"/>
        <v>65464.918633094254</v>
      </c>
      <c r="Q193" s="15">
        <v>670</v>
      </c>
      <c r="R193" s="15">
        <f>Messdaten!AE193-Messdaten!C193</f>
        <v>42419.938649999996</v>
      </c>
      <c r="S193" s="15">
        <f t="shared" si="27"/>
        <v>0.41247545605765507</v>
      </c>
      <c r="U193" s="15">
        <v>670</v>
      </c>
      <c r="V193" s="15">
        <f>Messdaten!AH193-Messdaten!C193</f>
        <v>17190.365170000001</v>
      </c>
      <c r="W193" s="15">
        <f t="shared" si="28"/>
        <v>0.17655289971611973</v>
      </c>
      <c r="Y193" s="22"/>
    </row>
    <row r="194" spans="1:25" x14ac:dyDescent="0.2">
      <c r="A194" s="15">
        <v>671</v>
      </c>
      <c r="B194" s="21">
        <f>Messdaten!Q194-Messdaten!C194</f>
        <v>415.55598999999995</v>
      </c>
      <c r="C194" s="15">
        <f>(B194-MIN(B:B))/(MAX(B:B)-MIN(B:B))</f>
        <v>9.9579373326991964E-3</v>
      </c>
      <c r="D194" s="15">
        <f t="shared" si="23"/>
        <v>6.966707375354057E-5</v>
      </c>
      <c r="M194" s="15">
        <v>591</v>
      </c>
      <c r="N194" s="21">
        <f>Messdaten!Z194-Messdaten!L194</f>
        <v>183820.53083999999</v>
      </c>
      <c r="O194" s="15">
        <f t="shared" si="25"/>
        <v>0.26760096379027737</v>
      </c>
      <c r="P194" s="15">
        <f t="shared" si="26"/>
        <v>66821.037509275615</v>
      </c>
      <c r="Q194" s="15">
        <v>671</v>
      </c>
      <c r="R194" s="15">
        <f>Messdaten!AE194-Messdaten!C194</f>
        <v>39825.815750000002</v>
      </c>
      <c r="S194" s="15">
        <f t="shared" si="27"/>
        <v>0.38733628903168121</v>
      </c>
      <c r="U194" s="15">
        <v>671</v>
      </c>
      <c r="V194" s="15">
        <f>Messdaten!AH194-Messdaten!C194</f>
        <v>16587.454720000002</v>
      </c>
      <c r="W194" s="15">
        <f t="shared" si="28"/>
        <v>0.17053515094875371</v>
      </c>
    </row>
    <row r="195" spans="1:25" x14ac:dyDescent="0.2">
      <c r="A195" s="15">
        <v>672</v>
      </c>
      <c r="B195" s="21">
        <f>Messdaten!Q195-Messdaten!C195</f>
        <v>487.89333000000005</v>
      </c>
      <c r="C195" s="15">
        <f>(B195-MIN(B:B))/(MAX(B:B)-MIN(B:B))</f>
        <v>1.0556778883919324E-2</v>
      </c>
      <c r="D195" s="15">
        <f t="shared" si="23"/>
        <v>8.179427423238567E-5</v>
      </c>
      <c r="M195" s="15">
        <v>592</v>
      </c>
      <c r="N195" s="21">
        <f>Messdaten!Z195-Messdaten!L195</f>
        <v>189341.23667000001</v>
      </c>
      <c r="O195" s="15">
        <f t="shared" si="25"/>
        <v>0.27562487241330919</v>
      </c>
      <c r="P195" s="15">
        <f t="shared" si="26"/>
        <v>68827.882390303639</v>
      </c>
      <c r="Q195" s="15">
        <v>672</v>
      </c>
      <c r="R195" s="15">
        <f>Messdaten!AE195-Messdaten!C195</f>
        <v>39402.350030000001</v>
      </c>
      <c r="S195" s="15">
        <f t="shared" si="27"/>
        <v>0.38323256076774492</v>
      </c>
      <c r="U195" s="15">
        <v>672</v>
      </c>
      <c r="V195" s="15">
        <f>Messdaten!AH195-Messdaten!C195</f>
        <v>16264.171440000002</v>
      </c>
      <c r="W195" s="15">
        <f t="shared" si="28"/>
        <v>0.16730840714338421</v>
      </c>
      <c r="Y195" s="22"/>
    </row>
    <row r="196" spans="1:25" x14ac:dyDescent="0.2">
      <c r="A196" s="15">
        <v>673</v>
      </c>
      <c r="B196" s="21">
        <f>Messdaten!Q196-Messdaten!C196</f>
        <v>619.66609999999991</v>
      </c>
      <c r="C196" s="15">
        <f>(B196-MIN(B:B))/(MAX(B:B)-MIN(B:B))</f>
        <v>1.1647654080538012E-2</v>
      </c>
      <c r="D196" s="15">
        <f t="shared" ref="D196:D259" si="33">B196/SUM(B:B)</f>
        <v>1.0388569754768509E-4</v>
      </c>
      <c r="M196" s="15">
        <v>593</v>
      </c>
      <c r="N196" s="21">
        <f>Messdaten!Z196-Messdaten!L196</f>
        <v>194544.18745</v>
      </c>
      <c r="O196" s="15">
        <f t="shared" ref="O196:O259" si="34">(N196-MIN(N:N))/(MAX(N:N)-MIN(N:N))</f>
        <v>0.28318694924087523</v>
      </c>
      <c r="P196" s="15">
        <f t="shared" ref="P196:P259" si="35">N196/MAX(N:N)*250000</f>
        <v>70719.219378835725</v>
      </c>
      <c r="Q196" s="15">
        <v>673</v>
      </c>
      <c r="R196" s="15">
        <f>Messdaten!AE196-Messdaten!C196</f>
        <v>37665.697169999999</v>
      </c>
      <c r="S196" s="15">
        <f t="shared" ref="S196:S259" si="36">(R196-MIN(R:R))/(MAX(R:R)-MIN(R:R))</f>
        <v>0.3664029779003814</v>
      </c>
      <c r="U196" s="15">
        <v>673</v>
      </c>
      <c r="V196" s="15">
        <f>Messdaten!AH196-Messdaten!C196</f>
        <v>15168.187310000001</v>
      </c>
      <c r="W196" s="15">
        <f t="shared" ref="W196:W259" si="37">(V196-MIN(V:V))/(MAX(V:V)-MIN(V:V))</f>
        <v>0.15636920854870032</v>
      </c>
    </row>
    <row r="197" spans="1:25" x14ac:dyDescent="0.2">
      <c r="A197" s="15">
        <v>674</v>
      </c>
      <c r="B197" s="21">
        <f>Messdaten!Q197-Messdaten!C197</f>
        <v>461.26495000000006</v>
      </c>
      <c r="C197" s="15">
        <f>(B197-MIN(B:B))/(MAX(B:B)-MIN(B:B))</f>
        <v>1.0336336987857358E-2</v>
      </c>
      <c r="D197" s="15">
        <f t="shared" si="33"/>
        <v>7.7330083225543719E-5</v>
      </c>
      <c r="M197" s="15">
        <v>594</v>
      </c>
      <c r="N197" s="21">
        <f>Messdaten!Z197-Messdaten!L197</f>
        <v>198371.86282000001</v>
      </c>
      <c r="O197" s="15">
        <f t="shared" si="34"/>
        <v>0.28875017219700749</v>
      </c>
      <c r="P197" s="15">
        <f t="shared" si="35"/>
        <v>72110.626738521387</v>
      </c>
      <c r="Q197" s="15">
        <v>674</v>
      </c>
      <c r="R197" s="15">
        <f>Messdaten!AE197-Messdaten!C197</f>
        <v>36484.104500000001</v>
      </c>
      <c r="S197" s="15">
        <f t="shared" si="36"/>
        <v>0.35495238105788163</v>
      </c>
      <c r="U197" s="15">
        <v>674</v>
      </c>
      <c r="V197" s="15">
        <f>Messdaten!AH197-Messdaten!C197</f>
        <v>15256.057709999999</v>
      </c>
      <c r="W197" s="15">
        <f t="shared" si="37"/>
        <v>0.15724625752220533</v>
      </c>
      <c r="Y197" s="22"/>
    </row>
    <row r="198" spans="1:25" x14ac:dyDescent="0.2">
      <c r="A198" s="15">
        <v>675</v>
      </c>
      <c r="B198" s="21">
        <f>Messdaten!Q198-Messdaten!C198</f>
        <v>473.44425000000001</v>
      </c>
      <c r="C198" s="15">
        <f>(B198-MIN(B:B))/(MAX(B:B)-MIN(B:B))</f>
        <v>1.0437162797940715E-2</v>
      </c>
      <c r="D198" s="15">
        <f t="shared" si="33"/>
        <v>7.9371916845524736E-5</v>
      </c>
      <c r="M198" s="15">
        <v>595</v>
      </c>
      <c r="N198" s="21">
        <f>Messdaten!Z198-Messdaten!L198</f>
        <v>201351.73106000002</v>
      </c>
      <c r="O198" s="15">
        <f t="shared" si="34"/>
        <v>0.29308117464537281</v>
      </c>
      <c r="P198" s="15">
        <f t="shared" si="35"/>
        <v>73193.845715900228</v>
      </c>
      <c r="Q198" s="15">
        <v>675</v>
      </c>
      <c r="R198" s="15">
        <f>Messdaten!AE198-Messdaten!C198</f>
        <v>35359.458700000003</v>
      </c>
      <c r="S198" s="15">
        <f t="shared" si="36"/>
        <v>0.34405364583941528</v>
      </c>
      <c r="U198" s="15">
        <v>675</v>
      </c>
      <c r="V198" s="15">
        <f>Messdaten!AH198-Messdaten!C198</f>
        <v>14662.503720000001</v>
      </c>
      <c r="W198" s="15">
        <f t="shared" si="37"/>
        <v>0.15132189712724503</v>
      </c>
    </row>
    <row r="199" spans="1:25" x14ac:dyDescent="0.2">
      <c r="A199" s="15">
        <v>676</v>
      </c>
      <c r="B199" s="21">
        <f>Messdaten!Q199-Messdaten!C199</f>
        <v>476.83976999999999</v>
      </c>
      <c r="C199" s="15">
        <f>(B199-MIN(B:B))/(MAX(B:B)-MIN(B:B))</f>
        <v>1.0465272463902983E-2</v>
      </c>
      <c r="D199" s="15">
        <f t="shared" si="33"/>
        <v>7.9941168517896536E-5</v>
      </c>
      <c r="M199" s="15">
        <v>596</v>
      </c>
      <c r="N199" s="21">
        <f>Messdaten!Z199-Messdaten!L199</f>
        <v>200632.76274000001</v>
      </c>
      <c r="O199" s="15">
        <f t="shared" si="34"/>
        <v>0.29203621114248413</v>
      </c>
      <c r="P199" s="15">
        <f t="shared" si="35"/>
        <v>72932.491835247376</v>
      </c>
      <c r="Q199" s="15">
        <v>676</v>
      </c>
      <c r="R199" s="15">
        <f>Messdaten!AE199-Messdaten!C199</f>
        <v>33691.655769999998</v>
      </c>
      <c r="S199" s="15">
        <f t="shared" si="36"/>
        <v>0.32789127495726517</v>
      </c>
      <c r="U199" s="15">
        <v>676</v>
      </c>
      <c r="V199" s="15">
        <f>Messdaten!AH199-Messdaten!C199</f>
        <v>14095.278260000001</v>
      </c>
      <c r="W199" s="15">
        <f t="shared" si="37"/>
        <v>0.14566032613816429</v>
      </c>
      <c r="Y199" s="22"/>
    </row>
    <row r="200" spans="1:25" x14ac:dyDescent="0.2">
      <c r="A200" s="15">
        <v>677</v>
      </c>
      <c r="B200" s="21">
        <f>Messdaten!Q200-Messdaten!C200</f>
        <v>530.86733000000004</v>
      </c>
      <c r="C200" s="15">
        <f>(B200-MIN(B:B))/(MAX(B:B)-MIN(B:B))</f>
        <v>1.0912537290602977E-2</v>
      </c>
      <c r="D200" s="15">
        <f t="shared" si="33"/>
        <v>8.8998773504516613E-5</v>
      </c>
      <c r="M200" s="15">
        <v>597</v>
      </c>
      <c r="N200" s="21">
        <f>Messdaten!Z200-Messdaten!L200</f>
        <v>207654.75594999999</v>
      </c>
      <c r="O200" s="15">
        <f t="shared" si="34"/>
        <v>0.30224212205380491</v>
      </c>
      <c r="P200" s="15">
        <f t="shared" si="35"/>
        <v>75485.073255457188</v>
      </c>
      <c r="Q200" s="15">
        <v>677</v>
      </c>
      <c r="R200" s="15">
        <f>Messdaten!AE200-Messdaten!C200</f>
        <v>32649.371940000001</v>
      </c>
      <c r="S200" s="15">
        <f t="shared" si="36"/>
        <v>0.31779069441389857</v>
      </c>
      <c r="U200" s="15">
        <v>677</v>
      </c>
      <c r="V200" s="15">
        <f>Messdaten!AH200-Messdaten!C200</f>
        <v>13942.35505</v>
      </c>
      <c r="W200" s="15">
        <f t="shared" si="37"/>
        <v>0.14413397432508962</v>
      </c>
    </row>
    <row r="201" spans="1:25" x14ac:dyDescent="0.2">
      <c r="A201" s="15">
        <v>678</v>
      </c>
      <c r="B201" s="21">
        <f>Messdaten!Q201-Messdaten!C201</f>
        <v>612.92201999999997</v>
      </c>
      <c r="C201" s="15">
        <f>(B201-MIN(B:B))/(MAX(B:B)-MIN(B:B))</f>
        <v>1.1591823504949353E-2</v>
      </c>
      <c r="D201" s="15">
        <f t="shared" si="33"/>
        <v>1.0275506694659623E-4</v>
      </c>
      <c r="M201" s="15">
        <v>598</v>
      </c>
      <c r="N201" s="21">
        <f>Messdaten!Z201-Messdaten!L201</f>
        <v>207567.82308</v>
      </c>
      <c r="O201" s="15">
        <f t="shared" si="34"/>
        <v>0.30211577201330336</v>
      </c>
      <c r="P201" s="15">
        <f t="shared" si="35"/>
        <v>75453.47208152675</v>
      </c>
      <c r="Q201" s="15">
        <v>678</v>
      </c>
      <c r="R201" s="15">
        <f>Messdaten!AE201-Messdaten!C201</f>
        <v>31299.013600000002</v>
      </c>
      <c r="S201" s="15">
        <f t="shared" si="36"/>
        <v>0.30470462056050601</v>
      </c>
      <c r="U201" s="15">
        <v>678</v>
      </c>
      <c r="V201" s="15">
        <f>Messdaten!AH201-Messdaten!C201</f>
        <v>13386.58466</v>
      </c>
      <c r="W201" s="15">
        <f t="shared" si="37"/>
        <v>0.13858673828139351</v>
      </c>
      <c r="Y201" s="22"/>
    </row>
    <row r="202" spans="1:25" x14ac:dyDescent="0.2">
      <c r="A202" s="15">
        <v>679</v>
      </c>
      <c r="B202" s="21">
        <f>Messdaten!Q202-Messdaten!C202</f>
        <v>365.09334000000001</v>
      </c>
      <c r="C202" s="15">
        <f>(B202-MIN(B:B))/(MAX(B:B)-MIN(B:B))</f>
        <v>9.5401844597752215E-3</v>
      </c>
      <c r="D202" s="15">
        <f t="shared" si="33"/>
        <v>6.1207118310835723E-5</v>
      </c>
      <c r="M202" s="15">
        <v>599</v>
      </c>
      <c r="N202" s="21">
        <f>Messdaten!Z202-Messdaten!L202</f>
        <v>208213.06694999998</v>
      </c>
      <c r="O202" s="15">
        <f t="shared" si="34"/>
        <v>0.30305358286790762</v>
      </c>
      <c r="P202" s="15">
        <f t="shared" si="35"/>
        <v>75688.026212356825</v>
      </c>
      <c r="Q202" s="15">
        <v>679</v>
      </c>
      <c r="R202" s="15">
        <f>Messdaten!AE202-Messdaten!C202</f>
        <v>30024.391919999998</v>
      </c>
      <c r="S202" s="15">
        <f t="shared" si="36"/>
        <v>0.2923524967237951</v>
      </c>
      <c r="U202" s="15">
        <v>679</v>
      </c>
      <c r="V202" s="15">
        <f>Messdaten!AH202-Messdaten!C202</f>
        <v>12311.760689999999</v>
      </c>
      <c r="W202" s="15">
        <f t="shared" si="37"/>
        <v>0.12785874273810352</v>
      </c>
    </row>
    <row r="203" spans="1:25" x14ac:dyDescent="0.2">
      <c r="A203" s="15">
        <v>680</v>
      </c>
      <c r="B203" s="21">
        <f>Messdaten!Q203-Messdaten!C203</f>
        <v>483.15739000000002</v>
      </c>
      <c r="C203" s="15">
        <f>(B203-MIN(B:B))/(MAX(B:B)-MIN(B:B))</f>
        <v>1.051757260876343E-2</v>
      </c>
      <c r="D203" s="15">
        <f t="shared" si="33"/>
        <v>8.1000304011255315E-5</v>
      </c>
      <c r="M203" s="15">
        <v>600</v>
      </c>
      <c r="N203" s="21">
        <f>Messdaten!Z203-Messdaten!L203</f>
        <v>211958.57882</v>
      </c>
      <c r="O203" s="15">
        <f t="shared" si="34"/>
        <v>0.30849738768504653</v>
      </c>
      <c r="P203" s="15">
        <f t="shared" si="35"/>
        <v>77049.566123122044</v>
      </c>
      <c r="Q203" s="15">
        <v>680</v>
      </c>
      <c r="R203" s="15">
        <f>Messdaten!AE203-Messdaten!C203</f>
        <v>27894.478159999999</v>
      </c>
      <c r="S203" s="15">
        <f t="shared" si="36"/>
        <v>0.27171189493751885</v>
      </c>
      <c r="U203" s="15">
        <v>680</v>
      </c>
      <c r="V203" s="15">
        <f>Messdaten!AH203-Messdaten!C203</f>
        <v>12127.812739999999</v>
      </c>
      <c r="W203" s="15">
        <f t="shared" si="37"/>
        <v>0.12602272787159721</v>
      </c>
      <c r="Y203" s="22"/>
    </row>
    <row r="204" spans="1:25" x14ac:dyDescent="0.2">
      <c r="A204" s="15">
        <v>681</v>
      </c>
      <c r="B204" s="21">
        <f>Messdaten!Q204-Messdaten!C204</f>
        <v>503.05297999999999</v>
      </c>
      <c r="C204" s="15">
        <f>(B204-MIN(B:B))/(MAX(B:B)-MIN(B:B))</f>
        <v>1.0682277393015098E-2</v>
      </c>
      <c r="D204" s="15">
        <f t="shared" si="33"/>
        <v>8.4335757161383651E-5</v>
      </c>
      <c r="M204" s="15">
        <v>601</v>
      </c>
      <c r="N204" s="21">
        <f>Messdaten!Z204-Messdaten!L204</f>
        <v>209294.46681000001</v>
      </c>
      <c r="O204" s="15">
        <f t="shared" si="34"/>
        <v>0.3046253119056056</v>
      </c>
      <c r="P204" s="15">
        <f t="shared" si="35"/>
        <v>76081.128442436253</v>
      </c>
      <c r="Q204" s="15">
        <v>681</v>
      </c>
      <c r="R204" s="15">
        <f>Messdaten!AE204-Messdaten!C204</f>
        <v>27517.244069999997</v>
      </c>
      <c r="S204" s="15">
        <f t="shared" si="36"/>
        <v>0.26805618888118615</v>
      </c>
      <c r="U204" s="15">
        <v>681</v>
      </c>
      <c r="V204" s="15">
        <f>Messdaten!AH204-Messdaten!C204</f>
        <v>11201.156150000001</v>
      </c>
      <c r="W204" s="15">
        <f t="shared" si="37"/>
        <v>0.11677361541676398</v>
      </c>
    </row>
    <row r="205" spans="1:25" x14ac:dyDescent="0.2">
      <c r="A205" s="15">
        <v>682</v>
      </c>
      <c r="B205" s="21">
        <f>Messdaten!Q205-Messdaten!C205</f>
        <v>315.11818</v>
      </c>
      <c r="C205" s="15">
        <f>(B205-MIN(B:B))/(MAX(B:B)-MIN(B:B))</f>
        <v>9.1264672518038721E-3</v>
      </c>
      <c r="D205" s="15">
        <f t="shared" si="33"/>
        <v>5.2828889524950602E-5</v>
      </c>
      <c r="M205" s="15">
        <v>602</v>
      </c>
      <c r="N205" s="21">
        <f>Messdaten!Z205-Messdaten!L205</f>
        <v>209804.29890999998</v>
      </c>
      <c r="O205" s="15">
        <f t="shared" si="34"/>
        <v>0.30536631247862261</v>
      </c>
      <c r="P205" s="15">
        <f t="shared" si="35"/>
        <v>76266.458719320202</v>
      </c>
      <c r="Q205" s="15">
        <v>682</v>
      </c>
      <c r="R205" s="15">
        <f>Messdaten!AE205-Messdaten!C205</f>
        <v>26152.20649</v>
      </c>
      <c r="S205" s="15">
        <f t="shared" si="36"/>
        <v>0.25482786121777778</v>
      </c>
      <c r="U205" s="15">
        <v>682</v>
      </c>
      <c r="V205" s="15">
        <f>Messdaten!AH205-Messdaten!C205</f>
        <v>10397.02594</v>
      </c>
      <c r="W205" s="15">
        <f t="shared" si="37"/>
        <v>0.10874745899497813</v>
      </c>
      <c r="Y205" s="22"/>
    </row>
    <row r="206" spans="1:25" x14ac:dyDescent="0.2">
      <c r="A206" s="15">
        <v>683</v>
      </c>
      <c r="B206" s="21">
        <f>Messdaten!Q206-Messdaten!C206</f>
        <v>305.60959999999994</v>
      </c>
      <c r="C206" s="15">
        <f>(B206-MIN(B:B))/(MAX(B:B)-MIN(B:B))</f>
        <v>9.0477508821239713E-3</v>
      </c>
      <c r="D206" s="15">
        <f t="shared" si="33"/>
        <v>5.1234796406111324E-5</v>
      </c>
      <c r="M206" s="15">
        <v>603</v>
      </c>
      <c r="N206" s="21">
        <f>Messdaten!Z206-Messdaten!L206</f>
        <v>210923.32178</v>
      </c>
      <c r="O206" s="15">
        <f t="shared" si="34"/>
        <v>0.30699272358119767</v>
      </c>
      <c r="P206" s="15">
        <f t="shared" si="35"/>
        <v>76673.237379072263</v>
      </c>
      <c r="Q206" s="15">
        <v>683</v>
      </c>
      <c r="R206" s="15">
        <f>Messdaten!AE206-Messdaten!C206</f>
        <v>24885.36476</v>
      </c>
      <c r="S206" s="15">
        <f t="shared" si="36"/>
        <v>0.24255113144296883</v>
      </c>
      <c r="U206" s="15">
        <v>683</v>
      </c>
      <c r="V206" s="15">
        <f>Messdaten!AH206-Messdaten!C206</f>
        <v>10216.836869999999</v>
      </c>
      <c r="W206" s="15">
        <f t="shared" si="37"/>
        <v>0.10694896213050127</v>
      </c>
    </row>
    <row r="207" spans="1:25" x14ac:dyDescent="0.2">
      <c r="A207" s="15">
        <v>684</v>
      </c>
      <c r="B207" s="21">
        <f>Messdaten!Q207-Messdaten!C207</f>
        <v>326.60707000000002</v>
      </c>
      <c r="C207" s="15">
        <f>(B207-MIN(B:B))/(MAX(B:B)-MIN(B:B))</f>
        <v>9.2215775324611012E-3</v>
      </c>
      <c r="D207" s="15">
        <f t="shared" si="33"/>
        <v>5.4754977383716195E-5</v>
      </c>
      <c r="M207" s="15">
        <v>604</v>
      </c>
      <c r="N207" s="21">
        <f>Messdaten!Z207-Messdaten!L207</f>
        <v>211278.38785</v>
      </c>
      <c r="O207" s="15">
        <f t="shared" si="34"/>
        <v>0.3075087839887885</v>
      </c>
      <c r="P207" s="15">
        <f t="shared" si="35"/>
        <v>76802.30828901536</v>
      </c>
      <c r="Q207" s="15">
        <v>684</v>
      </c>
      <c r="R207" s="15">
        <f>Messdaten!AE207-Messdaten!C207</f>
        <v>23616.039420000001</v>
      </c>
      <c r="S207" s="15">
        <f t="shared" si="36"/>
        <v>0.23025033346128448</v>
      </c>
      <c r="U207" s="15">
        <v>684</v>
      </c>
      <c r="V207" s="15">
        <f>Messdaten!AH207-Messdaten!C207</f>
        <v>9957.9998599999999</v>
      </c>
      <c r="W207" s="15">
        <f t="shared" si="37"/>
        <v>0.10436546718879608</v>
      </c>
      <c r="Y207" s="22"/>
    </row>
    <row r="208" spans="1:25" x14ac:dyDescent="0.2">
      <c r="A208" s="15">
        <v>685</v>
      </c>
      <c r="B208" s="21">
        <f>Messdaten!Q208-Messdaten!C208</f>
        <v>424.29206999999997</v>
      </c>
      <c r="C208" s="15">
        <f>(B208-MIN(B:B))/(MAX(B:B)-MIN(B:B))</f>
        <v>1.0030258594426307E-2</v>
      </c>
      <c r="D208" s="15">
        <f t="shared" si="33"/>
        <v>7.1131658898076285E-5</v>
      </c>
      <c r="M208" s="15">
        <v>605</v>
      </c>
      <c r="N208" s="21">
        <f>Messdaten!Z208-Messdaten!L208</f>
        <v>211595.54053000003</v>
      </c>
      <c r="O208" s="15">
        <f t="shared" si="34"/>
        <v>0.30796974028717361</v>
      </c>
      <c r="P208" s="15">
        <f t="shared" si="35"/>
        <v>76917.597212562716</v>
      </c>
      <c r="Q208" s="15">
        <v>685</v>
      </c>
      <c r="R208" s="15">
        <f>Messdaten!AE208-Messdaten!C208</f>
        <v>22110.654300000002</v>
      </c>
      <c r="S208" s="15">
        <f t="shared" si="36"/>
        <v>0.2156619236484357</v>
      </c>
      <c r="U208" s="15">
        <v>685</v>
      </c>
      <c r="V208" s="15">
        <f>Messdaten!AH208-Messdaten!C208</f>
        <v>9423.6178199999995</v>
      </c>
      <c r="W208" s="15">
        <f t="shared" si="37"/>
        <v>9.9031711798567651E-2</v>
      </c>
    </row>
    <row r="209" spans="1:25" x14ac:dyDescent="0.2">
      <c r="A209" s="15">
        <v>686</v>
      </c>
      <c r="B209" s="21">
        <f>Messdaten!Q209-Messdaten!C209</f>
        <v>355.60036999999994</v>
      </c>
      <c r="C209" s="15">
        <f>(B209-MIN(B:B))/(MAX(B:B)-MIN(B:B))</f>
        <v>9.4615973168074782E-3</v>
      </c>
      <c r="D209" s="15">
        <f t="shared" si="33"/>
        <v>5.9615642175140624E-5</v>
      </c>
      <c r="M209" s="15">
        <v>606</v>
      </c>
      <c r="N209" s="21">
        <f>Messdaten!Z209-Messdaten!L209</f>
        <v>212982.99649999998</v>
      </c>
      <c r="O209" s="15">
        <f t="shared" si="34"/>
        <v>0.30998629763773244</v>
      </c>
      <c r="P209" s="15">
        <f t="shared" si="35"/>
        <v>77421.954625688304</v>
      </c>
      <c r="Q209" s="15">
        <v>686</v>
      </c>
      <c r="R209" s="15">
        <f>Messdaten!AE209-Messdaten!C209</f>
        <v>21059.37746</v>
      </c>
      <c r="S209" s="15">
        <f t="shared" si="36"/>
        <v>0.20547419350222784</v>
      </c>
      <c r="U209" s="15">
        <v>686</v>
      </c>
      <c r="V209" s="15">
        <f>Messdaten!AH209-Messdaten!C209</f>
        <v>8906.1625800000002</v>
      </c>
      <c r="W209" s="15">
        <f t="shared" si="37"/>
        <v>9.3866905594467046E-2</v>
      </c>
      <c r="Y209" s="22"/>
    </row>
    <row r="210" spans="1:25" x14ac:dyDescent="0.2">
      <c r="A210" s="15">
        <v>687</v>
      </c>
      <c r="B210" s="21">
        <f>Messdaten!Q210-Messdaten!C210</f>
        <v>274.47875999999997</v>
      </c>
      <c r="C210" s="15">
        <f>(B210-MIN(B:B))/(MAX(B:B)-MIN(B:B))</f>
        <v>8.7900355650223812E-3</v>
      </c>
      <c r="D210" s="15">
        <f t="shared" si="33"/>
        <v>4.6015777601233382E-5</v>
      </c>
      <c r="M210" s="15">
        <v>607</v>
      </c>
      <c r="N210" s="21">
        <f>Messdaten!Z210-Messdaten!L210</f>
        <v>211017.37104</v>
      </c>
      <c r="O210" s="15">
        <f t="shared" si="34"/>
        <v>0.30712941673086758</v>
      </c>
      <c r="P210" s="15">
        <f t="shared" si="35"/>
        <v>76707.425448824113</v>
      </c>
      <c r="Q210" s="15">
        <v>687</v>
      </c>
      <c r="R210" s="15">
        <f>Messdaten!AE210-Messdaten!C210</f>
        <v>19479.67282</v>
      </c>
      <c r="S210" s="15">
        <f t="shared" si="36"/>
        <v>0.19016556691531247</v>
      </c>
      <c r="U210" s="15">
        <v>687</v>
      </c>
      <c r="V210" s="15">
        <f>Messdaten!AH210-Messdaten!C210</f>
        <v>8272.1184599999997</v>
      </c>
      <c r="W210" s="15">
        <f t="shared" si="37"/>
        <v>8.7538406525350429E-2</v>
      </c>
    </row>
    <row r="211" spans="1:25" x14ac:dyDescent="0.2">
      <c r="A211" s="15">
        <v>688</v>
      </c>
      <c r="B211" s="21">
        <f>Messdaten!Q211-Messdaten!C211</f>
        <v>181.52472999999998</v>
      </c>
      <c r="C211" s="15">
        <f>(B211-MIN(B:B))/(MAX(B:B)-MIN(B:B))</f>
        <v>8.0205196342822919E-3</v>
      </c>
      <c r="D211" s="15">
        <f t="shared" si="33"/>
        <v>3.0432233098123648E-5</v>
      </c>
      <c r="M211" s="15">
        <v>608</v>
      </c>
      <c r="N211" s="21">
        <f>Messdaten!Z211-Messdaten!L211</f>
        <v>214198.00048000002</v>
      </c>
      <c r="O211" s="15">
        <f t="shared" si="34"/>
        <v>0.31175220968092859</v>
      </c>
      <c r="P211" s="15">
        <f t="shared" si="35"/>
        <v>77863.623606571447</v>
      </c>
      <c r="Q211" s="15">
        <v>688</v>
      </c>
      <c r="R211" s="15">
        <f>Messdaten!AE211-Messdaten!C211</f>
        <v>18865.306570000001</v>
      </c>
      <c r="S211" s="15">
        <f t="shared" si="36"/>
        <v>0.18421185679083407</v>
      </c>
      <c r="U211" s="15">
        <v>688</v>
      </c>
      <c r="V211" s="15">
        <f>Messdaten!AH211-Messdaten!C211</f>
        <v>8081.2296299999998</v>
      </c>
      <c r="W211" s="15">
        <f t="shared" si="37"/>
        <v>8.5633113589332413E-2</v>
      </c>
      <c r="Y211" s="22"/>
    </row>
    <row r="212" spans="1:25" x14ac:dyDescent="0.2">
      <c r="A212" s="15">
        <v>689</v>
      </c>
      <c r="B212" s="21">
        <f>Messdaten!Q212-Messdaten!C212</f>
        <v>341.04001</v>
      </c>
      <c r="C212" s="15">
        <f>(B212-MIN(B:B))/(MAX(B:B)-MIN(B:B))</f>
        <v>9.3410600041453941E-3</v>
      </c>
      <c r="D212" s="15">
        <f t="shared" si="33"/>
        <v>5.7174628934065464E-5</v>
      </c>
      <c r="M212" s="15">
        <v>609</v>
      </c>
      <c r="N212" s="21">
        <f>Messdaten!Z212-Messdaten!L212</f>
        <v>212457.63188</v>
      </c>
      <c r="O212" s="15">
        <f t="shared" si="34"/>
        <v>0.30922272177724258</v>
      </c>
      <c r="P212" s="15">
        <f t="shared" si="35"/>
        <v>77230.978085588882</v>
      </c>
      <c r="Q212" s="15">
        <v>689</v>
      </c>
      <c r="R212" s="15">
        <f>Messdaten!AE212-Messdaten!C212</f>
        <v>18530.880990000001</v>
      </c>
      <c r="S212" s="15">
        <f t="shared" si="36"/>
        <v>0.18097100011693548</v>
      </c>
      <c r="U212" s="15">
        <v>689</v>
      </c>
      <c r="V212" s="15">
        <f>Messdaten!AH212-Messdaten!C212</f>
        <v>7780.1231699999998</v>
      </c>
      <c r="W212" s="15">
        <f t="shared" si="37"/>
        <v>8.2627720286710171E-2</v>
      </c>
    </row>
    <row r="213" spans="1:25" x14ac:dyDescent="0.2">
      <c r="A213" s="15">
        <v>690</v>
      </c>
      <c r="B213" s="21">
        <f>Messdaten!Q213-Messdaten!C213</f>
        <v>295.89944999999994</v>
      </c>
      <c r="C213" s="15">
        <f>(B213-MIN(B:B))/(MAX(B:B)-MIN(B:B))</f>
        <v>8.9673658238873799E-3</v>
      </c>
      <c r="D213" s="15">
        <f t="shared" si="33"/>
        <v>4.960691050749164E-5</v>
      </c>
      <c r="M213" s="15">
        <v>610</v>
      </c>
      <c r="N213" s="21">
        <f>Messdaten!Z213-Messdaten!L213</f>
        <v>218050.50698000001</v>
      </c>
      <c r="O213" s="15">
        <f t="shared" si="34"/>
        <v>0.31735152271761613</v>
      </c>
      <c r="P213" s="15">
        <f t="shared" si="35"/>
        <v>79264.057389266251</v>
      </c>
      <c r="Q213" s="15">
        <v>690</v>
      </c>
      <c r="R213" s="15">
        <f>Messdaten!AE213-Messdaten!C213</f>
        <v>17369.59978</v>
      </c>
      <c r="S213" s="15">
        <f t="shared" si="36"/>
        <v>0.16971723789066812</v>
      </c>
      <c r="U213" s="15">
        <v>690</v>
      </c>
      <c r="V213" s="15">
        <f>Messdaten!AH213-Messdaten!C213</f>
        <v>7183.3563599999998</v>
      </c>
      <c r="W213" s="15">
        <f t="shared" si="37"/>
        <v>7.6671292204757949E-2</v>
      </c>
      <c r="Y213" s="22"/>
    </row>
    <row r="214" spans="1:25" x14ac:dyDescent="0.2">
      <c r="A214" s="15">
        <v>691</v>
      </c>
      <c r="B214" s="21">
        <f>Messdaten!Q214-Messdaten!C214</f>
        <v>6.8675499999999943</v>
      </c>
      <c r="C214" s="15">
        <f>(B214-MIN(B:B))/(MAX(B:B)-MIN(B:B))</f>
        <v>6.5746276979333313E-3</v>
      </c>
      <c r="D214" s="15">
        <f t="shared" si="33"/>
        <v>1.1513300827552196E-6</v>
      </c>
      <c r="M214" s="15">
        <v>611</v>
      </c>
      <c r="N214" s="21">
        <f>Messdaten!Z214-Messdaten!L214</f>
        <v>218992.37918000002</v>
      </c>
      <c r="O214" s="15">
        <f t="shared" si="34"/>
        <v>0.31872045935363574</v>
      </c>
      <c r="P214" s="15">
        <f t="shared" si="35"/>
        <v>79606.439588455556</v>
      </c>
      <c r="Q214" s="15">
        <v>691</v>
      </c>
      <c r="R214" s="15">
        <f>Messdaten!AE214-Messdaten!C214</f>
        <v>16439.835300000002</v>
      </c>
      <c r="S214" s="15">
        <f t="shared" si="36"/>
        <v>0.16070706163512613</v>
      </c>
      <c r="U214" s="15">
        <v>691</v>
      </c>
      <c r="V214" s="15">
        <f>Messdaten!AH214-Messdaten!C214</f>
        <v>6617.3105000000005</v>
      </c>
      <c r="W214" s="15">
        <f t="shared" si="37"/>
        <v>7.1021494998078846E-2</v>
      </c>
    </row>
    <row r="215" spans="1:25" x14ac:dyDescent="0.2">
      <c r="A215" s="15">
        <v>692</v>
      </c>
      <c r="B215" s="21">
        <f>Messdaten!Q215-Messdaten!C215</f>
        <v>134.67911000000004</v>
      </c>
      <c r="C215" s="15">
        <f>(B215-MIN(B:B))/(MAX(B:B)-MIN(B:B))</f>
        <v>7.6327101883077973E-3</v>
      </c>
      <c r="D215" s="15">
        <f t="shared" si="33"/>
        <v>2.2578665005962752E-5</v>
      </c>
      <c r="M215" s="15">
        <v>612</v>
      </c>
      <c r="N215" s="21">
        <f>Messdaten!Z215-Messdaten!L215</f>
        <v>220183.41098000002</v>
      </c>
      <c r="O215" s="15">
        <f t="shared" si="34"/>
        <v>0.32045152973206326</v>
      </c>
      <c r="P215" s="15">
        <f t="shared" si="35"/>
        <v>80039.394385282969</v>
      </c>
      <c r="Q215" s="15">
        <v>692</v>
      </c>
      <c r="R215" s="15">
        <f>Messdaten!AE215-Messdaten!C215</f>
        <v>15481.980579999999</v>
      </c>
      <c r="S215" s="15">
        <f t="shared" si="36"/>
        <v>0.15142466803970411</v>
      </c>
      <c r="U215" s="15">
        <v>692</v>
      </c>
      <c r="V215" s="15">
        <f>Messdaten!AH215-Messdaten!C215</f>
        <v>6300.4660299999996</v>
      </c>
      <c r="W215" s="15">
        <f t="shared" si="37"/>
        <v>6.7859018018638112E-2</v>
      </c>
      <c r="Y215" s="22"/>
    </row>
    <row r="216" spans="1:25" x14ac:dyDescent="0.2">
      <c r="A216" s="15">
        <v>693</v>
      </c>
      <c r="B216" s="21">
        <f>Messdaten!Q216-Messdaten!C216</f>
        <v>171.54539999999997</v>
      </c>
      <c r="C216" s="15">
        <f>(B216-MIN(B:B))/(MAX(B:B)-MIN(B:B))</f>
        <v>7.9379061810182158E-3</v>
      </c>
      <c r="D216" s="15">
        <f t="shared" si="33"/>
        <v>2.8759219747694213E-5</v>
      </c>
      <c r="M216" s="15">
        <v>613</v>
      </c>
      <c r="N216" s="21">
        <f>Messdaten!Z216-Messdaten!L216</f>
        <v>229263.95398000002</v>
      </c>
      <c r="O216" s="15">
        <f t="shared" si="34"/>
        <v>0.33364937970327074</v>
      </c>
      <c r="P216" s="15">
        <f t="shared" si="35"/>
        <v>83340.28412613424</v>
      </c>
      <c r="Q216" s="15">
        <v>693</v>
      </c>
      <c r="R216" s="15">
        <f>Messdaten!AE216-Messdaten!C216</f>
        <v>15062.600909999999</v>
      </c>
      <c r="S216" s="15">
        <f t="shared" si="36"/>
        <v>0.14736053693341467</v>
      </c>
      <c r="U216" s="15">
        <v>693</v>
      </c>
      <c r="V216" s="15">
        <f>Messdaten!AH216-Messdaten!C216</f>
        <v>6925.8737599999995</v>
      </c>
      <c r="W216" s="15">
        <f t="shared" si="37"/>
        <v>7.4101315852932892E-2</v>
      </c>
    </row>
    <row r="217" spans="1:25" x14ac:dyDescent="0.2">
      <c r="A217" s="15">
        <v>694</v>
      </c>
      <c r="B217" s="21">
        <f>Messdaten!Q217-Messdaten!C217</f>
        <v>131.40304000000003</v>
      </c>
      <c r="C217" s="15">
        <f>(B217-MIN(B:B))/(MAX(B:B)-MIN(B:B))</f>
        <v>7.6055893840218545E-3</v>
      </c>
      <c r="D217" s="15">
        <f t="shared" si="33"/>
        <v>2.2029438870847333E-5</v>
      </c>
      <c r="M217" s="15">
        <v>614</v>
      </c>
      <c r="N217" s="21">
        <f>Messdaten!Z217-Messdaten!L217</f>
        <v>229147.91627999998</v>
      </c>
      <c r="O217" s="15">
        <f t="shared" si="34"/>
        <v>0.33348072809778806</v>
      </c>
      <c r="P217" s="15">
        <f t="shared" si="35"/>
        <v>83298.102986362966</v>
      </c>
      <c r="Q217" s="15">
        <v>694</v>
      </c>
      <c r="R217" s="15">
        <f>Messdaten!AE217-Messdaten!C217</f>
        <v>14125.430330000001</v>
      </c>
      <c r="S217" s="15">
        <f t="shared" si="36"/>
        <v>0.13827858952743449</v>
      </c>
      <c r="U217" s="15">
        <v>694</v>
      </c>
      <c r="V217" s="15">
        <f>Messdaten!AH217-Messdaten!C217</f>
        <v>5830.6761600000009</v>
      </c>
      <c r="W217" s="15">
        <f t="shared" si="37"/>
        <v>6.3169967744068245E-2</v>
      </c>
      <c r="Y217" s="22"/>
    </row>
    <row r="218" spans="1:25" x14ac:dyDescent="0.2">
      <c r="A218" s="15">
        <v>695</v>
      </c>
      <c r="B218" s="21">
        <f>Messdaten!Q218-Messdaten!C218</f>
        <v>181.66595999999993</v>
      </c>
      <c r="C218" s="15">
        <f>(B218-MIN(B:B))/(MAX(B:B)-MIN(B:B))</f>
        <v>8.0216888007498283E-3</v>
      </c>
      <c r="D218" s="15">
        <f t="shared" si="33"/>
        <v>3.0455910005840002E-5</v>
      </c>
      <c r="M218" s="15">
        <v>615</v>
      </c>
      <c r="N218" s="21">
        <f>Messdaten!Z218-Messdaten!L218</f>
        <v>237507.24692000001</v>
      </c>
      <c r="O218" s="15">
        <f t="shared" si="34"/>
        <v>0.34563035303171974</v>
      </c>
      <c r="P218" s="15">
        <f t="shared" si="35"/>
        <v>86336.82311025422</v>
      </c>
      <c r="Q218" s="15">
        <v>695</v>
      </c>
      <c r="R218" s="15">
        <f>Messdaten!AE218-Messdaten!C218</f>
        <v>13733.805579999998</v>
      </c>
      <c r="S218" s="15">
        <f t="shared" si="36"/>
        <v>0.13448342623669166</v>
      </c>
      <c r="U218" s="15">
        <v>695</v>
      </c>
      <c r="V218" s="15">
        <f>Messdaten!AH218-Messdaten!C218</f>
        <v>5590.1941500000003</v>
      </c>
      <c r="W218" s="15">
        <f t="shared" si="37"/>
        <v>6.0769677088546838E-2</v>
      </c>
    </row>
    <row r="219" spans="1:25" x14ac:dyDescent="0.2">
      <c r="A219" s="15">
        <v>696</v>
      </c>
      <c r="B219" s="21">
        <f>Messdaten!Q219-Messdaten!C219</f>
        <v>-33.655070000000023</v>
      </c>
      <c r="C219" s="15">
        <f>(B219-MIN(B:B))/(MAX(B:B)-MIN(B:B))</f>
        <v>6.2391629349173878E-3</v>
      </c>
      <c r="D219" s="15">
        <f t="shared" si="33"/>
        <v>-5.6422005705430279E-6</v>
      </c>
      <c r="M219" s="15">
        <v>616</v>
      </c>
      <c r="N219" s="21">
        <f>Messdaten!Z219-Messdaten!L219</f>
        <v>241544.65211</v>
      </c>
      <c r="O219" s="15">
        <f t="shared" si="34"/>
        <v>0.35149840166830398</v>
      </c>
      <c r="P219" s="15">
        <f t="shared" si="35"/>
        <v>87804.469854653813</v>
      </c>
      <c r="Q219" s="15">
        <v>696</v>
      </c>
      <c r="R219" s="15">
        <f>Messdaten!AE219-Messdaten!C219</f>
        <v>13438.659629999998</v>
      </c>
      <c r="S219" s="15">
        <f t="shared" si="36"/>
        <v>0.13162322121938511</v>
      </c>
      <c r="U219" s="15">
        <v>696</v>
      </c>
      <c r="V219" s="15">
        <f>Messdaten!AH219-Messdaten!C219</f>
        <v>5639.7872600000001</v>
      </c>
      <c r="W219" s="15">
        <f t="shared" si="37"/>
        <v>6.1264674109368665E-2</v>
      </c>
      <c r="Y219" s="22"/>
    </row>
    <row r="220" spans="1:25" x14ac:dyDescent="0.2">
      <c r="A220" s="15">
        <v>697</v>
      </c>
      <c r="B220" s="21">
        <f>Messdaten!Q220-Messdaten!C220</f>
        <v>98.17981999999995</v>
      </c>
      <c r="C220" s="15">
        <f>(B220-MIN(B:B))/(MAX(B:B)-MIN(B:B))</f>
        <v>7.3305523892785085E-3</v>
      </c>
      <c r="D220" s="15">
        <f t="shared" si="33"/>
        <v>1.6459637030016905E-5</v>
      </c>
      <c r="M220" s="15">
        <v>617</v>
      </c>
      <c r="N220" s="21">
        <f>Messdaten!Z220-Messdaten!L220</f>
        <v>252437.34984000001</v>
      </c>
      <c r="O220" s="15">
        <f t="shared" si="34"/>
        <v>0.36733007499689818</v>
      </c>
      <c r="P220" s="15">
        <f t="shared" si="35"/>
        <v>91764.100263006141</v>
      </c>
      <c r="Q220" s="15">
        <v>697</v>
      </c>
      <c r="R220" s="15">
        <f>Messdaten!AE220-Messdaten!C220</f>
        <v>12503.400880000001</v>
      </c>
      <c r="S220" s="15">
        <f t="shared" si="36"/>
        <v>0.12255980100565755</v>
      </c>
      <c r="U220" s="15">
        <v>697</v>
      </c>
      <c r="V220" s="15">
        <f>Messdaten!AH220-Messdaten!C220</f>
        <v>5216.2538699999996</v>
      </c>
      <c r="W220" s="15">
        <f t="shared" si="37"/>
        <v>5.7037317400572426E-2</v>
      </c>
    </row>
    <row r="221" spans="1:25" x14ac:dyDescent="0.2">
      <c r="A221" s="15">
        <v>698</v>
      </c>
      <c r="B221" s="21">
        <f>Messdaten!Q221-Messdaten!C221</f>
        <v>88.70868999999999</v>
      </c>
      <c r="C221" s="15">
        <f>(B221-MIN(B:B))/(MAX(B:B)-MIN(B:B))</f>
        <v>7.2521460478093937E-3</v>
      </c>
      <c r="D221" s="15">
        <f t="shared" si="33"/>
        <v>1.4871822323653589E-5</v>
      </c>
      <c r="M221" s="15">
        <v>618</v>
      </c>
      <c r="N221" s="21">
        <f>Messdaten!Z221-Messdaten!L221</f>
        <v>258712.48968</v>
      </c>
      <c r="O221" s="15">
        <f t="shared" si="34"/>
        <v>0.37645049369395928</v>
      </c>
      <c r="P221" s="15">
        <f t="shared" si="35"/>
        <v>94045.191241845532</v>
      </c>
      <c r="Q221" s="15">
        <v>698</v>
      </c>
      <c r="R221" s="15">
        <f>Messdaten!AE221-Messdaten!C221</f>
        <v>12703.662750000001</v>
      </c>
      <c r="S221" s="15">
        <f t="shared" si="36"/>
        <v>0.12450050188720173</v>
      </c>
      <c r="U221" s="15">
        <v>698</v>
      </c>
      <c r="V221" s="15">
        <f>Messdaten!AH221-Messdaten!C221</f>
        <v>4850.1764899999998</v>
      </c>
      <c r="W221" s="15">
        <f t="shared" si="37"/>
        <v>5.338343861599408E-2</v>
      </c>
      <c r="Y221" s="22"/>
    </row>
    <row r="222" spans="1:25" x14ac:dyDescent="0.2">
      <c r="A222" s="15">
        <v>699</v>
      </c>
      <c r="B222" s="21">
        <f>Messdaten!Q222-Messdaten!C222</f>
        <v>343.77093999999994</v>
      </c>
      <c r="C222" s="15">
        <f>(B222-MIN(B:B))/(MAX(B:B)-MIN(B:B))</f>
        <v>9.3636678904386074E-3</v>
      </c>
      <c r="D222" s="15">
        <f t="shared" si="33"/>
        <v>5.7632463513049035E-5</v>
      </c>
      <c r="M222" s="15">
        <v>619</v>
      </c>
      <c r="N222" s="21">
        <f>Messdaten!Z222-Messdaten!L222</f>
        <v>273017.77474999998</v>
      </c>
      <c r="O222" s="15">
        <f t="shared" si="34"/>
        <v>0.39724209240663699</v>
      </c>
      <c r="P222" s="15">
        <f t="shared" si="35"/>
        <v>99245.339374783798</v>
      </c>
      <c r="Q222" s="15">
        <v>699</v>
      </c>
      <c r="R222" s="15">
        <f>Messdaten!AE222-Messdaten!C222</f>
        <v>11752.182220000001</v>
      </c>
      <c r="S222" s="15">
        <f t="shared" si="36"/>
        <v>0.11527987939254961</v>
      </c>
      <c r="U222" s="15">
        <v>699</v>
      </c>
      <c r="V222" s="15">
        <f>Messdaten!AH222-Messdaten!C222</f>
        <v>5163.1313399999999</v>
      </c>
      <c r="W222" s="15">
        <f t="shared" si="37"/>
        <v>5.6507092655874669E-2</v>
      </c>
    </row>
    <row r="223" spans="1:25" x14ac:dyDescent="0.2">
      <c r="A223" s="15">
        <v>700</v>
      </c>
      <c r="B223" s="21">
        <f>Messdaten!Q223-Messdaten!C223</f>
        <v>152.74327999999997</v>
      </c>
      <c r="C223" s="15">
        <f>(B223-MIN(B:B))/(MAX(B:B)-MIN(B:B))</f>
        <v>7.782253641029504E-3</v>
      </c>
      <c r="D223" s="15">
        <f t="shared" si="33"/>
        <v>2.5607084506513065E-5</v>
      </c>
      <c r="M223" s="15">
        <v>620</v>
      </c>
      <c r="N223" s="21">
        <f>Messdaten!Z223-Messdaten!L223</f>
        <v>283577.49501999997</v>
      </c>
      <c r="O223" s="15">
        <f t="shared" si="34"/>
        <v>0.41258980937261341</v>
      </c>
      <c r="P223" s="15">
        <f t="shared" si="35"/>
        <v>103083.92835624694</v>
      </c>
      <c r="Q223" s="15">
        <v>700</v>
      </c>
      <c r="R223" s="15">
        <f>Messdaten!AE223-Messdaten!C223</f>
        <v>11504.03017</v>
      </c>
      <c r="S223" s="15">
        <f t="shared" si="36"/>
        <v>0.11287508360095937</v>
      </c>
      <c r="U223" s="15">
        <v>700</v>
      </c>
      <c r="V223" s="15">
        <f>Messdaten!AH223-Messdaten!C223</f>
        <v>4897.5020199999999</v>
      </c>
      <c r="W223" s="15">
        <f t="shared" si="37"/>
        <v>5.3855802546362921E-2</v>
      </c>
      <c r="Y223" s="22"/>
    </row>
    <row r="224" spans="1:25" x14ac:dyDescent="0.2">
      <c r="A224" s="15">
        <v>701</v>
      </c>
      <c r="B224" s="21">
        <f>Messdaten!Q224-Messdaten!C224</f>
        <v>42.176119999999969</v>
      </c>
      <c r="C224" s="15">
        <f>(B224-MIN(B:B))/(MAX(B:B)-MIN(B:B))</f>
        <v>6.8669281727664466E-3</v>
      </c>
      <c r="D224" s="15">
        <f t="shared" si="33"/>
        <v>7.0707363950599673E-6</v>
      </c>
      <c r="M224" s="15">
        <v>621</v>
      </c>
      <c r="N224" s="21">
        <f>Messdaten!Z224-Messdaten!L224</f>
        <v>290969.18193999998</v>
      </c>
      <c r="O224" s="15">
        <f t="shared" si="34"/>
        <v>0.42333304080759449</v>
      </c>
      <c r="P224" s="15">
        <f t="shared" si="35"/>
        <v>105770.89801453859</v>
      </c>
      <c r="Q224" s="15">
        <v>701</v>
      </c>
      <c r="R224" s="15">
        <f>Messdaten!AE224-Messdaten!C224</f>
        <v>11031.9732</v>
      </c>
      <c r="S224" s="15">
        <f t="shared" si="36"/>
        <v>0.10830046648678748</v>
      </c>
      <c r="U224" s="15">
        <v>701</v>
      </c>
      <c r="V224" s="15">
        <f>Messdaten!AH224-Messdaten!C224</f>
        <v>4337.2713100000001</v>
      </c>
      <c r="W224" s="15">
        <f t="shared" si="37"/>
        <v>4.8264047312160066E-2</v>
      </c>
    </row>
    <row r="225" spans="1:25" x14ac:dyDescent="0.2">
      <c r="A225" s="15">
        <v>702</v>
      </c>
      <c r="B225" s="21">
        <f>Messdaten!Q225-Messdaten!C225</f>
        <v>32.027900000000045</v>
      </c>
      <c r="C225" s="15">
        <f>(B225-MIN(B:B))/(MAX(B:B)-MIN(B:B))</f>
        <v>6.7829165709170688E-3</v>
      </c>
      <c r="D225" s="15">
        <f t="shared" si="33"/>
        <v>5.3694089970187306E-6</v>
      </c>
      <c r="M225" s="15">
        <v>622</v>
      </c>
      <c r="N225" s="21">
        <f>Messdaten!Z225-Messdaten!L225</f>
        <v>303718.50806000002</v>
      </c>
      <c r="O225" s="15">
        <f t="shared" si="34"/>
        <v>0.44186317643558037</v>
      </c>
      <c r="P225" s="15">
        <f t="shared" si="35"/>
        <v>110405.43581610784</v>
      </c>
      <c r="Q225" s="15">
        <v>702</v>
      </c>
      <c r="R225" s="15">
        <f>Messdaten!AE225-Messdaten!C225</f>
        <v>10718.12249</v>
      </c>
      <c r="S225" s="15">
        <f t="shared" si="36"/>
        <v>0.10525899708689496</v>
      </c>
      <c r="U225" s="15">
        <v>702</v>
      </c>
      <c r="V225" s="15">
        <f>Messdaten!AH225-Messdaten!C225</f>
        <v>4208.48027</v>
      </c>
      <c r="W225" s="15">
        <f t="shared" si="37"/>
        <v>4.6978562673093374E-2</v>
      </c>
      <c r="Y225" s="22"/>
    </row>
    <row r="226" spans="1:25" x14ac:dyDescent="0.2">
      <c r="A226" s="15">
        <v>703</v>
      </c>
      <c r="B226" s="21">
        <f>Messdaten!Q226-Messdaten!C226</f>
        <v>147.35829999999999</v>
      </c>
      <c r="C226" s="15">
        <f>(B226-MIN(B:B))/(MAX(B:B)-MIN(B:B))</f>
        <v>7.7376743162093035E-3</v>
      </c>
      <c r="D226" s="15">
        <f t="shared" si="33"/>
        <v>2.4704304116266881E-5</v>
      </c>
      <c r="M226" s="15">
        <v>623</v>
      </c>
      <c r="N226" s="21">
        <f>Messdaten!Z226-Messdaten!L226</f>
        <v>316372.31314000004</v>
      </c>
      <c r="O226" s="15">
        <f t="shared" si="34"/>
        <v>0.46025447979824757</v>
      </c>
      <c r="P226" s="15">
        <f t="shared" si="35"/>
        <v>115005.25053768384</v>
      </c>
      <c r="Q226" s="15">
        <v>703</v>
      </c>
      <c r="R226" s="15">
        <f>Messdaten!AE226-Messdaten!C226</f>
        <v>10360.71182</v>
      </c>
      <c r="S226" s="15">
        <f t="shared" si="36"/>
        <v>0.10179539614108191</v>
      </c>
      <c r="U226" s="15">
        <v>703</v>
      </c>
      <c r="V226" s="15">
        <f>Messdaten!AH226-Messdaten!C226</f>
        <v>4145.57384</v>
      </c>
      <c r="W226" s="15">
        <f t="shared" si="37"/>
        <v>4.6350683206761521E-2</v>
      </c>
    </row>
    <row r="227" spans="1:25" x14ac:dyDescent="0.2">
      <c r="A227" s="15">
        <v>704</v>
      </c>
      <c r="B227" s="21">
        <f>Messdaten!Q227-Messdaten!C227</f>
        <v>261.58100999999994</v>
      </c>
      <c r="C227" s="15">
        <f>(B227-MIN(B:B))/(MAX(B:B)-MIN(B:B))</f>
        <v>8.683262097581506E-3</v>
      </c>
      <c r="D227" s="15">
        <f t="shared" si="33"/>
        <v>4.3853497373953467E-5</v>
      </c>
      <c r="M227" s="15">
        <v>624</v>
      </c>
      <c r="N227" s="21">
        <f>Messdaten!Z227-Messdaten!L227</f>
        <v>330559.62216999999</v>
      </c>
      <c r="O227" s="15">
        <f t="shared" si="34"/>
        <v>0.48087460968179052</v>
      </c>
      <c r="P227" s="15">
        <f t="shared" si="35"/>
        <v>120162.51292027631</v>
      </c>
      <c r="Q227" s="15">
        <v>704</v>
      </c>
      <c r="R227" s="15">
        <f>Messdaten!AE227-Messdaten!C227</f>
        <v>10309.448179999999</v>
      </c>
      <c r="S227" s="15">
        <f t="shared" si="36"/>
        <v>0.10129860965177585</v>
      </c>
      <c r="U227" s="15">
        <v>704</v>
      </c>
      <c r="V227" s="15">
        <f>Messdaten!AH227-Messdaten!C227</f>
        <v>4292.3681400000005</v>
      </c>
      <c r="W227" s="15">
        <f t="shared" si="37"/>
        <v>4.7815861356984929E-2</v>
      </c>
      <c r="Y227" s="22"/>
    </row>
    <row r="228" spans="1:25" x14ac:dyDescent="0.2">
      <c r="A228" s="15">
        <v>705</v>
      </c>
      <c r="B228" s="21">
        <f>Messdaten!Q228-Messdaten!C228</f>
        <v>306.51218999999998</v>
      </c>
      <c r="C228" s="15">
        <f>(B228-MIN(B:B))/(MAX(B:B)-MIN(B:B))</f>
        <v>9.0552229345344654E-3</v>
      </c>
      <c r="D228" s="15">
        <f t="shared" si="33"/>
        <v>5.1386113690935469E-5</v>
      </c>
      <c r="M228" s="15">
        <v>625</v>
      </c>
      <c r="N228" s="21">
        <f>Messdaten!Z228-Messdaten!L228</f>
        <v>346507.94852999999</v>
      </c>
      <c r="O228" s="15">
        <f t="shared" si="34"/>
        <v>0.50405423876246713</v>
      </c>
      <c r="P228" s="15">
        <f t="shared" si="35"/>
        <v>125959.92689270855</v>
      </c>
      <c r="Q228" s="15">
        <v>705</v>
      </c>
      <c r="R228" s="15">
        <f>Messdaten!AE228-Messdaten!C228</f>
        <v>9731.3454399999991</v>
      </c>
      <c r="S228" s="15">
        <f t="shared" si="36"/>
        <v>9.5696322520725463E-2</v>
      </c>
      <c r="U228" s="15">
        <v>705</v>
      </c>
      <c r="V228" s="15">
        <f>Messdaten!AH228-Messdaten!C228</f>
        <v>4241.8113000000003</v>
      </c>
      <c r="W228" s="15">
        <f t="shared" si="37"/>
        <v>4.7311245187880671E-2</v>
      </c>
    </row>
    <row r="229" spans="1:25" x14ac:dyDescent="0.2">
      <c r="A229" s="15">
        <v>706</v>
      </c>
      <c r="B229" s="21">
        <f>Messdaten!Q229-Messdaten!C229</f>
        <v>59.674060000000054</v>
      </c>
      <c r="C229" s="15">
        <f>(B229-MIN(B:B))/(MAX(B:B)-MIN(B:B))</f>
        <v>7.0117841148394722E-3</v>
      </c>
      <c r="D229" s="15">
        <f t="shared" si="33"/>
        <v>1.0004228646044085E-5</v>
      </c>
      <c r="M229" s="15">
        <v>626</v>
      </c>
      <c r="N229" s="21">
        <f>Messdaten!Z229-Messdaten!L229</f>
        <v>364293.70175000001</v>
      </c>
      <c r="O229" s="15">
        <f t="shared" si="34"/>
        <v>0.52990442223965362</v>
      </c>
      <c r="P229" s="15">
        <f t="shared" si="35"/>
        <v>132425.26826460785</v>
      </c>
      <c r="Q229" s="15">
        <v>706</v>
      </c>
      <c r="R229" s="15">
        <f>Messdaten!AE229-Messdaten!C229</f>
        <v>9389.4318199999998</v>
      </c>
      <c r="S229" s="15">
        <f t="shared" si="36"/>
        <v>9.2382900630947076E-2</v>
      </c>
      <c r="U229" s="15">
        <v>706</v>
      </c>
      <c r="V229" s="15">
        <f>Messdaten!AH229-Messdaten!C229</f>
        <v>3896.9724499999998</v>
      </c>
      <c r="W229" s="15">
        <f t="shared" si="37"/>
        <v>4.3869351678608406E-2</v>
      </c>
      <c r="Y229" s="22"/>
    </row>
    <row r="230" spans="1:25" x14ac:dyDescent="0.2">
      <c r="A230" s="15">
        <v>707</v>
      </c>
      <c r="B230" s="21">
        <f>Messdaten!Q230-Messdaten!C230</f>
        <v>-77.405120000000011</v>
      </c>
      <c r="C230" s="15">
        <f>(B230-MIN(B:B))/(MAX(B:B)-MIN(B:B))</f>
        <v>5.8769800317589622E-3</v>
      </c>
      <c r="D230" s="15">
        <f t="shared" si="33"/>
        <v>-1.2976802966891802E-5</v>
      </c>
      <c r="M230" s="15">
        <v>627</v>
      </c>
      <c r="N230" s="21">
        <f>Messdaten!Z230-Messdaten!L230</f>
        <v>382429.55359999998</v>
      </c>
      <c r="O230" s="15">
        <f t="shared" si="34"/>
        <v>0.55626344634386693</v>
      </c>
      <c r="P230" s="15">
        <f t="shared" si="35"/>
        <v>139017.87482054436</v>
      </c>
      <c r="Q230" s="15">
        <v>707</v>
      </c>
      <c r="R230" s="15">
        <f>Messdaten!AE230-Messdaten!C230</f>
        <v>8977.1048900000005</v>
      </c>
      <c r="S230" s="15">
        <f t="shared" si="36"/>
        <v>8.8387116328446591E-2</v>
      </c>
      <c r="U230" s="15">
        <v>707</v>
      </c>
      <c r="V230" s="15">
        <f>Messdaten!AH230-Messdaten!C230</f>
        <v>3506.5228999999999</v>
      </c>
      <c r="W230" s="15">
        <f t="shared" si="37"/>
        <v>3.9972210240387981E-2</v>
      </c>
    </row>
    <row r="231" spans="1:25" x14ac:dyDescent="0.2">
      <c r="A231" s="15">
        <v>708</v>
      </c>
      <c r="B231" s="21">
        <f>Messdaten!Q231-Messdaten!C231</f>
        <v>154.65161999999998</v>
      </c>
      <c r="C231" s="15">
        <f>(B231-MIN(B:B))/(MAX(B:B)-MIN(B:B))</f>
        <v>7.7980517514639695E-3</v>
      </c>
      <c r="D231" s="15">
        <f t="shared" si="33"/>
        <v>2.59270136297266E-5</v>
      </c>
      <c r="M231" s="15">
        <v>628</v>
      </c>
      <c r="N231" s="21">
        <f>Messdaten!Z231-Messdaten!L231</f>
        <v>398500.89859</v>
      </c>
      <c r="O231" s="15">
        <f t="shared" si="34"/>
        <v>0.57962187325881442</v>
      </c>
      <c r="P231" s="15">
        <f t="shared" si="35"/>
        <v>144860.00758718315</v>
      </c>
      <c r="Q231" s="15">
        <v>708</v>
      </c>
      <c r="R231" s="15">
        <f>Messdaten!AE231-Messdaten!C231</f>
        <v>9141.8547299999991</v>
      </c>
      <c r="S231" s="15">
        <f t="shared" si="36"/>
        <v>8.998367667077363E-2</v>
      </c>
      <c r="U231" s="15">
        <v>708</v>
      </c>
      <c r="V231" s="15">
        <f>Messdaten!AH231-Messdaten!C231</f>
        <v>3893.41345</v>
      </c>
      <c r="W231" s="15">
        <f t="shared" si="37"/>
        <v>4.3833828711867563E-2</v>
      </c>
      <c r="Y231" s="22"/>
    </row>
    <row r="232" spans="1:25" x14ac:dyDescent="0.2">
      <c r="A232" s="15">
        <v>709</v>
      </c>
      <c r="B232" s="21">
        <f>Messdaten!Q232-Messdaten!C232</f>
        <v>431.18616000000003</v>
      </c>
      <c r="C232" s="15">
        <f>(B232-MIN(B:B))/(MAX(B:B)-MIN(B:B))</f>
        <v>1.0087331021334059E-2</v>
      </c>
      <c r="D232" s="15">
        <f t="shared" si="33"/>
        <v>7.2287438355120209E-5</v>
      </c>
      <c r="M232" s="15">
        <v>629</v>
      </c>
      <c r="N232" s="21">
        <f>Messdaten!Z232-Messdaten!L232</f>
        <v>424375.18072999996</v>
      </c>
      <c r="O232" s="15">
        <f t="shared" si="34"/>
        <v>0.61722809282039948</v>
      </c>
      <c r="P232" s="15">
        <f t="shared" si="35"/>
        <v>154265.62930692139</v>
      </c>
      <c r="Q232" s="15">
        <v>709</v>
      </c>
      <c r="R232" s="15">
        <f>Messdaten!AE232-Messdaten!C232</f>
        <v>9138.4385399999992</v>
      </c>
      <c r="S232" s="15">
        <f t="shared" si="36"/>
        <v>8.9950571002957169E-2</v>
      </c>
      <c r="U232" s="15">
        <v>709</v>
      </c>
      <c r="V232" s="15">
        <f>Messdaten!AH232-Messdaten!C232</f>
        <v>3734.8364999999999</v>
      </c>
      <c r="W232" s="15">
        <f t="shared" si="37"/>
        <v>4.2251045986182241E-2</v>
      </c>
    </row>
    <row r="233" spans="1:25" x14ac:dyDescent="0.2">
      <c r="A233" s="15">
        <v>710</v>
      </c>
      <c r="B233" s="21">
        <f>Messdaten!Q233-Messdaten!C233</f>
        <v>-178.58011999999997</v>
      </c>
      <c r="C233" s="15">
        <f>(B233-MIN(B:B))/(MAX(B:B)-MIN(B:B))</f>
        <v>5.0394071552238781E-3</v>
      </c>
      <c r="D233" s="15">
        <f t="shared" si="33"/>
        <v>-2.9938575523736585E-5</v>
      </c>
      <c r="M233" s="15">
        <v>630</v>
      </c>
      <c r="N233" s="21">
        <f>Messdaten!Z233-Messdaten!L233</f>
        <v>443719.78262999997</v>
      </c>
      <c r="O233" s="15">
        <f t="shared" si="34"/>
        <v>0.64534393937593426</v>
      </c>
      <c r="P233" s="15">
        <f t="shared" si="35"/>
        <v>161297.63146280148</v>
      </c>
      <c r="Q233" s="15">
        <v>710</v>
      </c>
      <c r="R233" s="15">
        <f>Messdaten!AE233-Messdaten!C233</f>
        <v>8448.3696199999995</v>
      </c>
      <c r="S233" s="15">
        <f t="shared" si="36"/>
        <v>8.3263240252624035E-2</v>
      </c>
      <c r="U233" s="15">
        <v>710</v>
      </c>
      <c r="V233" s="15">
        <f>Messdaten!AH233-Messdaten!C233</f>
        <v>3410.1816900000003</v>
      </c>
      <c r="W233" s="15">
        <f t="shared" si="37"/>
        <v>3.9010612713385344E-2</v>
      </c>
      <c r="Y233" s="22"/>
    </row>
    <row r="234" spans="1:25" x14ac:dyDescent="0.2">
      <c r="A234" s="15">
        <v>711</v>
      </c>
      <c r="B234" s="21">
        <f>Messdaten!Q234-Messdaten!C234</f>
        <v>-30.252549999999928</v>
      </c>
      <c r="C234" s="15">
        <f>(B234-MIN(B:B))/(MAX(B:B)-MIN(B:B))</f>
        <v>6.2673305500779344E-3</v>
      </c>
      <c r="D234" s="15">
        <f t="shared" si="33"/>
        <v>-5.0717753631289709E-6</v>
      </c>
      <c r="M234" s="15">
        <v>631</v>
      </c>
      <c r="N234" s="21">
        <f>Messdaten!Z234-Messdaten!L234</f>
        <v>468816.36936999997</v>
      </c>
      <c r="O234" s="15">
        <f t="shared" si="34"/>
        <v>0.68181984027568399</v>
      </c>
      <c r="P234" s="15">
        <f t="shared" si="35"/>
        <v>170420.5512816328</v>
      </c>
      <c r="Q234" s="15">
        <v>711</v>
      </c>
      <c r="R234" s="15">
        <f>Messdaten!AE234-Messdaten!C234</f>
        <v>8864.0692400000007</v>
      </c>
      <c r="S234" s="15">
        <f t="shared" si="36"/>
        <v>8.7291708672456364E-2</v>
      </c>
      <c r="U234" s="15">
        <v>711</v>
      </c>
      <c r="V234" s="15">
        <f>Messdaten!AH234-Messdaten!C234</f>
        <v>3469.5201900000002</v>
      </c>
      <c r="W234" s="15">
        <f t="shared" si="37"/>
        <v>3.9602880081171632E-2</v>
      </c>
    </row>
    <row r="235" spans="1:25" x14ac:dyDescent="0.2">
      <c r="A235" s="15">
        <v>712</v>
      </c>
      <c r="B235" s="21">
        <f>Messdaten!Q235-Messdaten!C235</f>
        <v>-65.196399999999926</v>
      </c>
      <c r="C235" s="15">
        <f>(B235-MIN(B:B))/(MAX(B:B)-MIN(B:B))</f>
        <v>5.9780493940442252E-3</v>
      </c>
      <c r="D235" s="15">
        <f t="shared" si="33"/>
        <v>-1.0930037146776126E-5</v>
      </c>
      <c r="M235" s="15">
        <v>632</v>
      </c>
      <c r="N235" s="21">
        <f>Messdaten!Z235-Messdaten!L235</f>
        <v>489874.51196999999</v>
      </c>
      <c r="O235" s="15">
        <f t="shared" si="34"/>
        <v>0.71242618250732082</v>
      </c>
      <c r="P235" s="15">
        <f t="shared" si="35"/>
        <v>178075.44668488382</v>
      </c>
      <c r="Q235" s="15">
        <v>712</v>
      </c>
      <c r="R235" s="15">
        <f>Messdaten!AE235-Messdaten!C235</f>
        <v>8986.40625</v>
      </c>
      <c r="S235" s="15">
        <f t="shared" si="36"/>
        <v>8.8477254094320626E-2</v>
      </c>
      <c r="U235" s="15">
        <v>712</v>
      </c>
      <c r="V235" s="15">
        <f>Messdaten!AH235-Messdaten!C235</f>
        <v>3402.80123</v>
      </c>
      <c r="W235" s="15">
        <f t="shared" si="37"/>
        <v>3.8936947123300453E-2</v>
      </c>
      <c r="Y235" s="22"/>
    </row>
    <row r="236" spans="1:25" x14ac:dyDescent="0.2">
      <c r="A236" s="15">
        <v>713</v>
      </c>
      <c r="B236" s="21">
        <f>Messdaten!Q236-Messdaten!C236</f>
        <v>67.625589999999988</v>
      </c>
      <c r="C236" s="15">
        <f>(B236-MIN(B:B))/(MAX(B:B)-MIN(B:B))</f>
        <v>7.0776105132081893E-3</v>
      </c>
      <c r="D236" s="15">
        <f t="shared" si="33"/>
        <v>1.1337285659524955E-5</v>
      </c>
      <c r="M236" s="15">
        <v>633</v>
      </c>
      <c r="N236" s="21">
        <f>Messdaten!Z236-Messdaten!L236</f>
        <v>509551.56001999998</v>
      </c>
      <c r="O236" s="15">
        <f t="shared" si="34"/>
        <v>0.74102521320847403</v>
      </c>
      <c r="P236" s="15">
        <f t="shared" si="35"/>
        <v>185228.29712989379</v>
      </c>
      <c r="Q236" s="15">
        <v>713</v>
      </c>
      <c r="R236" s="15">
        <f>Messdaten!AE236-Messdaten!C236</f>
        <v>8679.9384500000015</v>
      </c>
      <c r="S236" s="15">
        <f t="shared" si="36"/>
        <v>8.5507331114849316E-2</v>
      </c>
      <c r="U236" s="15">
        <v>713</v>
      </c>
      <c r="V236" s="15">
        <f>Messdaten!AH236-Messdaten!C236</f>
        <v>3808.3126099999999</v>
      </c>
      <c r="W236" s="15">
        <f t="shared" si="37"/>
        <v>4.2984423174093567E-2</v>
      </c>
    </row>
    <row r="237" spans="1:25" x14ac:dyDescent="0.2">
      <c r="A237" s="15">
        <v>714</v>
      </c>
      <c r="B237" s="21">
        <f>Messdaten!Q237-Messdaten!C237</f>
        <v>-199.67107999999996</v>
      </c>
      <c r="C237" s="15">
        <f>(B237-MIN(B:B))/(MAX(B:B)-MIN(B:B))</f>
        <v>4.8648065519514647E-3</v>
      </c>
      <c r="D237" s="15">
        <f t="shared" si="33"/>
        <v>-3.3474429900069778E-5</v>
      </c>
      <c r="M237" s="15">
        <v>634</v>
      </c>
      <c r="N237" s="21">
        <f>Messdaten!Z237-Messdaten!L237</f>
        <v>539118.10566</v>
      </c>
      <c r="O237" s="15">
        <f t="shared" si="34"/>
        <v>0.78399784529926186</v>
      </c>
      <c r="P237" s="15">
        <f t="shared" si="35"/>
        <v>195976.10231902037</v>
      </c>
      <c r="Q237" s="15">
        <v>714</v>
      </c>
      <c r="R237" s="15">
        <f>Messdaten!AE237-Messdaten!C237</f>
        <v>8366.0050800000008</v>
      </c>
      <c r="S237" s="15">
        <f t="shared" si="36"/>
        <v>8.2465060672127874E-2</v>
      </c>
      <c r="U237" s="15">
        <v>714</v>
      </c>
      <c r="V237" s="15">
        <f>Messdaten!AH237-Messdaten!C237</f>
        <v>3355.2956800000002</v>
      </c>
      <c r="W237" s="15">
        <f t="shared" si="37"/>
        <v>3.8462786383582734E-2</v>
      </c>
      <c r="Y237" s="22"/>
    </row>
    <row r="238" spans="1:25" x14ac:dyDescent="0.2">
      <c r="A238" s="15">
        <v>715</v>
      </c>
      <c r="B238" s="21">
        <f>Messdaten!Q238-Messdaten!C238</f>
        <v>147.35766000000001</v>
      </c>
      <c r="C238" s="15">
        <f>(B238-MIN(B:B))/(MAX(B:B)-MIN(B:B))</f>
        <v>7.7376690179968895E-3</v>
      </c>
      <c r="D238" s="15">
        <f t="shared" si="33"/>
        <v>2.470419682163445E-5</v>
      </c>
      <c r="M238" s="15">
        <v>635</v>
      </c>
      <c r="N238" s="21">
        <f>Messdaten!Z238-Messdaten!L238</f>
        <v>553657.99734999996</v>
      </c>
      <c r="O238" s="15">
        <f t="shared" si="34"/>
        <v>0.80513042615067421</v>
      </c>
      <c r="P238" s="15">
        <f t="shared" si="35"/>
        <v>201261.53286129187</v>
      </c>
      <c r="Q238" s="15">
        <v>715</v>
      </c>
      <c r="R238" s="15">
        <f>Messdaten!AE238-Messdaten!C238</f>
        <v>8384.923499999999</v>
      </c>
      <c r="S238" s="15">
        <f t="shared" si="36"/>
        <v>8.2648395594404483E-2</v>
      </c>
      <c r="U238" s="15">
        <v>715</v>
      </c>
      <c r="V238" s="15">
        <f>Messdaten!AH238-Messdaten!C238</f>
        <v>3718.4055700000004</v>
      </c>
      <c r="W238" s="15">
        <f t="shared" si="37"/>
        <v>4.208704616041347E-2</v>
      </c>
    </row>
    <row r="239" spans="1:25" x14ac:dyDescent="0.2">
      <c r="A239" s="15">
        <v>716</v>
      </c>
      <c r="B239" s="21">
        <f>Messdaten!Q239-Messdaten!C239</f>
        <v>355.35344999999995</v>
      </c>
      <c r="C239" s="15">
        <f>(B239-MIN(B:B))/(MAX(B:B)-MIN(B:B))</f>
        <v>9.4595532002305152E-3</v>
      </c>
      <c r="D239" s="15">
        <f t="shared" si="33"/>
        <v>5.9574246564765176E-5</v>
      </c>
      <c r="M239" s="15">
        <v>636</v>
      </c>
      <c r="N239" s="21">
        <f>Messdaten!Z239-Messdaten!L239</f>
        <v>572227.69795000006</v>
      </c>
      <c r="O239" s="15">
        <f t="shared" si="34"/>
        <v>0.8321200150474003</v>
      </c>
      <c r="P239" s="15">
        <f t="shared" si="35"/>
        <v>208011.84880618853</v>
      </c>
      <c r="Q239" s="15">
        <v>716</v>
      </c>
      <c r="R239" s="15">
        <f>Messdaten!AE239-Messdaten!C239</f>
        <v>8542.1002100000005</v>
      </c>
      <c r="S239" s="15">
        <f t="shared" si="36"/>
        <v>8.4171566129340611E-2</v>
      </c>
      <c r="U239" s="15">
        <v>716</v>
      </c>
      <c r="V239" s="15">
        <f>Messdaten!AH239-Messdaten!C239</f>
        <v>3609.3854299999998</v>
      </c>
      <c r="W239" s="15">
        <f t="shared" si="37"/>
        <v>4.0998898139255308E-2</v>
      </c>
      <c r="Y239" s="22"/>
    </row>
    <row r="240" spans="1:25" x14ac:dyDescent="0.2">
      <c r="A240" s="15">
        <v>717</v>
      </c>
      <c r="B240" s="21">
        <f>Messdaten!Q240-Messdaten!C240</f>
        <v>-12.09514999999999</v>
      </c>
      <c r="C240" s="15">
        <f>(B240-MIN(B:B))/(MAX(B:B)-MIN(B:B))</f>
        <v>6.4176458033361307E-3</v>
      </c>
      <c r="D240" s="15">
        <f t="shared" si="33"/>
        <v>-2.0277260522947477E-6</v>
      </c>
      <c r="M240" s="15">
        <v>637</v>
      </c>
      <c r="N240" s="21">
        <f>Messdaten!Z240-Messdaten!L240</f>
        <v>590405.36391999992</v>
      </c>
      <c r="O240" s="15">
        <f t="shared" si="34"/>
        <v>0.85853981266289336</v>
      </c>
      <c r="P240" s="15">
        <f t="shared" si="35"/>
        <v>214619.65531214239</v>
      </c>
      <c r="Q240" s="15">
        <v>717</v>
      </c>
      <c r="R240" s="15">
        <f>Messdaten!AE240-Messdaten!C240</f>
        <v>8276.3437099999992</v>
      </c>
      <c r="S240" s="15">
        <f t="shared" si="36"/>
        <v>8.1596168856629195E-2</v>
      </c>
      <c r="U240" s="15">
        <v>717</v>
      </c>
      <c r="V240" s="15">
        <f>Messdaten!AH240-Messdaten!C240</f>
        <v>3173.9001399999997</v>
      </c>
      <c r="W240" s="15">
        <f t="shared" si="37"/>
        <v>3.6652247542796841E-2</v>
      </c>
    </row>
    <row r="241" spans="1:25" x14ac:dyDescent="0.2">
      <c r="A241" s="15">
        <v>718</v>
      </c>
      <c r="B241" s="21">
        <f>Messdaten!Q241-Messdaten!C241</f>
        <v>156.61262999999997</v>
      </c>
      <c r="C241" s="15">
        <f>(B241-MIN(B:B))/(MAX(B:B)-MIN(B:B))</f>
        <v>7.8142858882231884E-3</v>
      </c>
      <c r="D241" s="15">
        <f t="shared" si="33"/>
        <v>2.6255772765893615E-5</v>
      </c>
      <c r="M241" s="15">
        <v>638</v>
      </c>
      <c r="N241" s="21">
        <f>Messdaten!Z241-Messdaten!L241</f>
        <v>613580.98661000002</v>
      </c>
      <c r="O241" s="15">
        <f t="shared" si="34"/>
        <v>0.8922237444775365</v>
      </c>
      <c r="P241" s="15">
        <f t="shared" si="35"/>
        <v>223044.28092927358</v>
      </c>
      <c r="Q241" s="15">
        <v>718</v>
      </c>
      <c r="R241" s="15">
        <f>Messdaten!AE241-Messdaten!C241</f>
        <v>8142.5977499999999</v>
      </c>
      <c r="S241" s="15">
        <f t="shared" si="36"/>
        <v>8.0300061402549347E-2</v>
      </c>
      <c r="U241" s="15">
        <v>718</v>
      </c>
      <c r="V241" s="15">
        <f>Messdaten!AH241-Messdaten!C241</f>
        <v>3531.8515699999998</v>
      </c>
      <c r="W241" s="15">
        <f t="shared" si="37"/>
        <v>4.0225019878488498E-2</v>
      </c>
      <c r="Y241" s="22"/>
    </row>
    <row r="242" spans="1:25" x14ac:dyDescent="0.2">
      <c r="A242" s="15">
        <v>719</v>
      </c>
      <c r="B242" s="21">
        <f>Messdaten!Q242-Messdaten!C242</f>
        <v>-18.888320000000022</v>
      </c>
      <c r="C242" s="15">
        <f>(B242-MIN(B:B))/(MAX(B:B)-MIN(B:B))</f>
        <v>6.3614088382984053E-3</v>
      </c>
      <c r="D242" s="15">
        <f t="shared" si="33"/>
        <v>-3.1665864869869333E-6</v>
      </c>
      <c r="M242" s="15">
        <v>639</v>
      </c>
      <c r="N242" s="21">
        <f>Messdaten!Z242-Messdaten!L242</f>
        <v>630807.52361000003</v>
      </c>
      <c r="O242" s="15">
        <f t="shared" si="34"/>
        <v>0.9172611514750536</v>
      </c>
      <c r="P242" s="15">
        <f t="shared" si="35"/>
        <v>229306.34028560226</v>
      </c>
      <c r="Q242" s="15">
        <v>719</v>
      </c>
      <c r="R242" s="15">
        <f>Messdaten!AE242-Messdaten!C242</f>
        <v>8185.6481899999999</v>
      </c>
      <c r="S242" s="15">
        <f t="shared" si="36"/>
        <v>8.0717255284034936E-2</v>
      </c>
      <c r="U242" s="15">
        <v>719</v>
      </c>
      <c r="V242" s="15">
        <f>Messdaten!AH242-Messdaten!C242</f>
        <v>3447.51748</v>
      </c>
      <c r="W242" s="15">
        <f t="shared" si="37"/>
        <v>3.9383267399087235E-2</v>
      </c>
    </row>
    <row r="243" spans="1:25" x14ac:dyDescent="0.2">
      <c r="A243" s="15">
        <v>720</v>
      </c>
      <c r="B243" s="21">
        <f>Messdaten!Q243-Messdaten!C243</f>
        <v>-97.134930000000054</v>
      </c>
      <c r="C243" s="15">
        <f>(B243-MIN(B:B))/(MAX(B:B)-MIN(B:B))</f>
        <v>5.713647650091646E-3</v>
      </c>
      <c r="D243" s="15">
        <f t="shared" si="33"/>
        <v>-1.6284463454262819E-5</v>
      </c>
      <c r="M243" s="15">
        <v>640</v>
      </c>
      <c r="N243" s="21">
        <f>Messdaten!Z243-Messdaten!L243</f>
        <v>641640.93322000001</v>
      </c>
      <c r="O243" s="15">
        <f t="shared" si="34"/>
        <v>0.93300665421750173</v>
      </c>
      <c r="P243" s="15">
        <f t="shared" si="35"/>
        <v>233244.41872871833</v>
      </c>
      <c r="Q243" s="15">
        <v>720</v>
      </c>
      <c r="R243" s="15">
        <f>Messdaten!AE243-Messdaten!C243</f>
        <v>7790.8892100000003</v>
      </c>
      <c r="S243" s="15">
        <f t="shared" si="36"/>
        <v>7.6891718747881213E-2</v>
      </c>
      <c r="U243" s="15">
        <v>720</v>
      </c>
      <c r="V243" s="15">
        <f>Messdaten!AH243-Messdaten!C243</f>
        <v>3153.6160599999998</v>
      </c>
      <c r="W243" s="15">
        <f t="shared" si="37"/>
        <v>3.6449788790560669E-2</v>
      </c>
      <c r="Y243" s="22"/>
    </row>
    <row r="244" spans="1:25" x14ac:dyDescent="0.2">
      <c r="A244" s="15">
        <v>721</v>
      </c>
      <c r="B244" s="21">
        <f>Messdaten!Q244-Messdaten!C244</f>
        <v>-96.906489999999962</v>
      </c>
      <c r="C244" s="15">
        <f>(B244-MIN(B:B))/(MAX(B:B)-MIN(B:B))</f>
        <v>5.7155387807851545E-3</v>
      </c>
      <c r="D244" s="15">
        <f t="shared" si="33"/>
        <v>-1.6246165976398847E-5</v>
      </c>
      <c r="M244" s="15">
        <v>641</v>
      </c>
      <c r="N244" s="21">
        <f>Messdaten!Z244-Messdaten!L244</f>
        <v>653452.68262999994</v>
      </c>
      <c r="O244" s="15">
        <f t="shared" si="34"/>
        <v>0.95017409636393257</v>
      </c>
      <c r="P244" s="15">
        <f t="shared" si="35"/>
        <v>237538.13579486456</v>
      </c>
      <c r="Q244" s="15">
        <v>721</v>
      </c>
      <c r="R244" s="15">
        <f>Messdaten!AE244-Messdaten!C244</f>
        <v>7295.1878199999992</v>
      </c>
      <c r="S244" s="15">
        <f t="shared" si="36"/>
        <v>7.208796791625427E-2</v>
      </c>
      <c r="U244" s="15">
        <v>721</v>
      </c>
      <c r="V244" s="15">
        <f>Messdaten!AH244-Messdaten!C244</f>
        <v>3363.08331</v>
      </c>
      <c r="W244" s="15">
        <f t="shared" si="37"/>
        <v>3.8540516004678539E-2</v>
      </c>
    </row>
    <row r="245" spans="1:25" x14ac:dyDescent="0.2">
      <c r="A245" s="15">
        <v>722</v>
      </c>
      <c r="B245" s="21">
        <f>Messdaten!Q245-Messdaten!C245</f>
        <v>404.35485</v>
      </c>
      <c r="C245" s="15">
        <f>(B245-MIN(B:B))/(MAX(B:B)-MIN(B:B))</f>
        <v>9.8652091780140234E-3</v>
      </c>
      <c r="D245" s="15">
        <f t="shared" si="33"/>
        <v>6.7789226567403928E-5</v>
      </c>
      <c r="M245" s="15">
        <v>642</v>
      </c>
      <c r="N245" s="21">
        <f>Messdaten!Z245-Messdaten!L245</f>
        <v>666654.98226000008</v>
      </c>
      <c r="O245" s="15">
        <f t="shared" si="34"/>
        <v>0.96936259310819894</v>
      </c>
      <c r="P245" s="15">
        <f t="shared" si="35"/>
        <v>242337.33507229897</v>
      </c>
      <c r="Q245" s="15">
        <v>722</v>
      </c>
      <c r="R245" s="15">
        <f>Messdaten!AE245-Messdaten!C245</f>
        <v>7947.3445199999996</v>
      </c>
      <c r="S245" s="15">
        <f t="shared" si="36"/>
        <v>7.8407898328343842E-2</v>
      </c>
      <c r="U245" s="15">
        <v>722</v>
      </c>
      <c r="V245" s="15">
        <f>Messdaten!AH245-Messdaten!C245</f>
        <v>3388.3108700000003</v>
      </c>
      <c r="W245" s="15">
        <f t="shared" si="37"/>
        <v>3.8792316447171536E-2</v>
      </c>
      <c r="Y245" s="22"/>
    </row>
    <row r="246" spans="1:25" x14ac:dyDescent="0.2">
      <c r="A246" s="15">
        <v>723</v>
      </c>
      <c r="B246" s="21">
        <f>Messdaten!Q246-Messdaten!C246</f>
        <v>5.3763200000000779</v>
      </c>
      <c r="C246" s="15">
        <f>(B246-MIN(B:B))/(MAX(B:B)-MIN(B:B))</f>
        <v>6.5622826146550977E-3</v>
      </c>
      <c r="D246" s="15">
        <f t="shared" si="33"/>
        <v>9.0132855975109567E-7</v>
      </c>
      <c r="M246" s="15">
        <v>643</v>
      </c>
      <c r="N246" s="21">
        <f>Messdaten!Z246-Messdaten!L246</f>
        <v>677791.32353000005</v>
      </c>
      <c r="O246" s="15">
        <f t="shared" si="34"/>
        <v>0.98554838302292391</v>
      </c>
      <c r="P246" s="15">
        <f t="shared" si="35"/>
        <v>246385.53292222507</v>
      </c>
      <c r="Q246" s="15">
        <v>723</v>
      </c>
      <c r="R246" s="15">
        <f>Messdaten!AE246-Messdaten!C246</f>
        <v>7793.5145400000001</v>
      </c>
      <c r="S246" s="15">
        <f t="shared" si="36"/>
        <v>7.6917160337163004E-2</v>
      </c>
      <c r="U246" s="15">
        <v>723</v>
      </c>
      <c r="V246" s="15">
        <f>Messdaten!AH246-Messdaten!C246</f>
        <v>2951.9336800000001</v>
      </c>
      <c r="W246" s="15">
        <f t="shared" si="37"/>
        <v>3.4436763649522813E-2</v>
      </c>
    </row>
    <row r="247" spans="1:25" x14ac:dyDescent="0.2">
      <c r="A247" s="15">
        <v>724</v>
      </c>
      <c r="B247" s="21">
        <f>Messdaten!Q247-Messdaten!C247</f>
        <v>-142.87936999999999</v>
      </c>
      <c r="C247" s="15">
        <f>(B247-MIN(B:B))/(MAX(B:B)-MIN(B:B))</f>
        <v>5.3349542752827847E-3</v>
      </c>
      <c r="D247" s="15">
        <f t="shared" si="33"/>
        <v>-2.3953421072451425E-5</v>
      </c>
      <c r="M247" s="15">
        <v>644</v>
      </c>
      <c r="N247" s="21">
        <f>Messdaten!Z247-Messdaten!L247</f>
        <v>680309.40577000007</v>
      </c>
      <c r="O247" s="15">
        <f t="shared" si="34"/>
        <v>0.98920821609884046</v>
      </c>
      <c r="P247" s="15">
        <f t="shared" si="35"/>
        <v>247300.88697458027</v>
      </c>
      <c r="Q247" s="15">
        <v>724</v>
      </c>
      <c r="R247" s="15">
        <f>Messdaten!AE247-Messdaten!C247</f>
        <v>7323.1376300000002</v>
      </c>
      <c r="S247" s="15">
        <f t="shared" si="36"/>
        <v>7.2358824374880143E-2</v>
      </c>
      <c r="U247" s="15">
        <v>724</v>
      </c>
      <c r="V247" s="15">
        <f>Messdaten!AH247-Messdaten!C247</f>
        <v>3133.3482800000002</v>
      </c>
      <c r="W247" s="15">
        <f t="shared" si="37"/>
        <v>3.6247492731316305E-2</v>
      </c>
      <c r="Y247" s="22"/>
    </row>
    <row r="248" spans="1:25" x14ac:dyDescent="0.2">
      <c r="A248" s="15">
        <v>725</v>
      </c>
      <c r="B248" s="21">
        <f>Messdaten!Q248-Messdaten!C248</f>
        <v>20.981400000000008</v>
      </c>
      <c r="C248" s="15">
        <f>(B248-MIN(B:B))/(MAX(B:B)-MIN(B:B))</f>
        <v>6.6914685968064202E-3</v>
      </c>
      <c r="D248" s="15">
        <f t="shared" si="33"/>
        <v>3.5174868764436217E-6</v>
      </c>
      <c r="M248" s="15">
        <v>645</v>
      </c>
      <c r="N248" s="21">
        <f>Messdaten!Z248-Messdaten!L248</f>
        <v>687734.49834000005</v>
      </c>
      <c r="O248" s="15">
        <f t="shared" si="34"/>
        <v>1</v>
      </c>
      <c r="P248" s="15">
        <f t="shared" si="35"/>
        <v>250000</v>
      </c>
      <c r="Q248" s="15">
        <v>725</v>
      </c>
      <c r="R248" s="15">
        <f>Messdaten!AE248-Messdaten!C248</f>
        <v>7453.9622400000007</v>
      </c>
      <c r="S248" s="15">
        <f t="shared" si="36"/>
        <v>7.3626621564403388E-2</v>
      </c>
      <c r="U248" s="15">
        <v>725</v>
      </c>
      <c r="V248" s="15">
        <f>Messdaten!AH248-Messdaten!C248</f>
        <v>3065.2817099999997</v>
      </c>
      <c r="W248" s="15">
        <f t="shared" si="37"/>
        <v>3.5568109055487941E-2</v>
      </c>
    </row>
    <row r="249" spans="1:25" x14ac:dyDescent="0.2">
      <c r="A249" s="15">
        <v>726</v>
      </c>
      <c r="B249" s="21">
        <f>Messdaten!Q249-Messdaten!C249</f>
        <v>-223.74593000000004</v>
      </c>
      <c r="C249" s="15">
        <f>(B249-MIN(B:B))/(MAX(B:B)-MIN(B:B))</f>
        <v>4.6655039439292192E-3</v>
      </c>
      <c r="D249" s="15">
        <f t="shared" si="33"/>
        <v>-3.751052705885561E-5</v>
      </c>
      <c r="M249" s="15">
        <v>646</v>
      </c>
      <c r="N249" s="21">
        <f>Messdaten!Z249-Messdaten!L249</f>
        <v>679839.26510999992</v>
      </c>
      <c r="O249" s="15">
        <f t="shared" si="34"/>
        <v>0.9885249038898628</v>
      </c>
      <c r="P249" s="15">
        <f t="shared" si="35"/>
        <v>247129.98502726815</v>
      </c>
      <c r="Q249" s="15">
        <v>726</v>
      </c>
      <c r="R249" s="15">
        <f>Messdaten!AE249-Messdaten!C249</f>
        <v>7154.3819100000001</v>
      </c>
      <c r="S249" s="15">
        <f t="shared" si="36"/>
        <v>7.0723443787603993E-2</v>
      </c>
      <c r="U249" s="15">
        <v>726</v>
      </c>
      <c r="V249" s="15">
        <f>Messdaten!AH249-Messdaten!C249</f>
        <v>2556.1773899999998</v>
      </c>
      <c r="W249" s="15">
        <f t="shared" si="37"/>
        <v>3.048665476299604E-2</v>
      </c>
      <c r="Y249" s="22"/>
    </row>
    <row r="250" spans="1:25" x14ac:dyDescent="0.2">
      <c r="A250" s="15">
        <v>727</v>
      </c>
      <c r="B250" s="21">
        <f>Messdaten!Q250-Messdaten!C250</f>
        <v>53.111520000000041</v>
      </c>
      <c r="C250" s="15">
        <f>(B250-MIN(B:B))/(MAX(B:B)-MIN(B:B))</f>
        <v>6.9574564103158593E-3</v>
      </c>
      <c r="D250" s="15">
        <f t="shared" si="33"/>
        <v>8.9040328380362146E-6</v>
      </c>
      <c r="M250" s="15">
        <v>647</v>
      </c>
      <c r="N250" s="21">
        <f>Messdaten!Z250-Messdaten!L250</f>
        <v>681021.11890999996</v>
      </c>
      <c r="O250" s="15">
        <f t="shared" si="34"/>
        <v>0.99024263477228924</v>
      </c>
      <c r="P250" s="15">
        <f t="shared" si="35"/>
        <v>247559.6035075293</v>
      </c>
      <c r="Q250" s="15">
        <v>727</v>
      </c>
      <c r="R250" s="15">
        <f>Messdaten!AE250-Messdaten!C250</f>
        <v>7191.1028799999995</v>
      </c>
      <c r="S250" s="15">
        <f t="shared" si="36"/>
        <v>7.1079299941599533E-2</v>
      </c>
      <c r="U250" s="15">
        <v>727</v>
      </c>
      <c r="V250" s="15">
        <f>Messdaten!AH250-Messdaten!C250</f>
        <v>3332.6703299999999</v>
      </c>
      <c r="W250" s="15">
        <f t="shared" si="37"/>
        <v>3.8236959028834235E-2</v>
      </c>
    </row>
    <row r="251" spans="1:25" x14ac:dyDescent="0.2">
      <c r="A251" s="15">
        <v>728</v>
      </c>
      <c r="B251" s="21">
        <f>Messdaten!Q251-Messdaten!C251</f>
        <v>37.444839999999999</v>
      </c>
      <c r="C251" s="15">
        <f>(B251-MIN(B:B))/(MAX(B:B)-MIN(B:B))</f>
        <v>6.8277604752196921E-3</v>
      </c>
      <c r="D251" s="15">
        <f t="shared" si="33"/>
        <v>6.2775474129720195E-6</v>
      </c>
      <c r="M251" s="15">
        <v>648</v>
      </c>
      <c r="N251" s="21">
        <f>Messdaten!Z251-Messdaten!L251</f>
        <v>672485.68978000002</v>
      </c>
      <c r="O251" s="15">
        <f t="shared" si="34"/>
        <v>0.97783706463208808</v>
      </c>
      <c r="P251" s="15">
        <f t="shared" si="35"/>
        <v>244456.86940352476</v>
      </c>
      <c r="Q251" s="15">
        <v>728</v>
      </c>
      <c r="R251" s="15">
        <f>Messdaten!AE251-Messdaten!C251</f>
        <v>7502.49568</v>
      </c>
      <c r="S251" s="15">
        <f t="shared" si="36"/>
        <v>7.4096950188581173E-2</v>
      </c>
      <c r="U251" s="15">
        <v>728</v>
      </c>
      <c r="V251" s="15">
        <f>Messdaten!AH251-Messdaten!C251</f>
        <v>3124.0152600000001</v>
      </c>
      <c r="W251" s="15">
        <f t="shared" si="37"/>
        <v>3.61543383174215E-2</v>
      </c>
      <c r="Y251" s="22"/>
    </row>
    <row r="252" spans="1:25" x14ac:dyDescent="0.2">
      <c r="A252" s="15">
        <v>729</v>
      </c>
      <c r="B252" s="21">
        <f>Messdaten!Q252-Messdaten!C252</f>
        <v>29.901809999999955</v>
      </c>
      <c r="C252" s="15">
        <f>(B252-MIN(B:B))/(MAX(B:B)-MIN(B:B))</f>
        <v>6.7653158264933226E-3</v>
      </c>
      <c r="D252" s="15">
        <f t="shared" si="33"/>
        <v>5.0129745515985802E-6</v>
      </c>
      <c r="M252" s="15">
        <v>649</v>
      </c>
      <c r="N252" s="21">
        <f>Messdaten!Z252-Messdaten!L252</f>
        <v>658282.73627999995</v>
      </c>
      <c r="O252" s="15">
        <f t="shared" si="34"/>
        <v>0.95719419675061468</v>
      </c>
      <c r="P252" s="15">
        <f t="shared" si="35"/>
        <v>239293.92006250651</v>
      </c>
      <c r="Q252" s="15">
        <v>729</v>
      </c>
      <c r="R252" s="15">
        <f>Messdaten!AE252-Messdaten!C252</f>
        <v>6883.4134300000005</v>
      </c>
      <c r="S252" s="15">
        <f t="shared" si="36"/>
        <v>6.8097538177081737E-2</v>
      </c>
      <c r="U252" s="15">
        <v>729</v>
      </c>
      <c r="V252" s="15">
        <f>Messdaten!AH252-Messdaten!C252</f>
        <v>2497.8752100000002</v>
      </c>
      <c r="W252" s="15">
        <f t="shared" si="37"/>
        <v>2.9904731076269842E-2</v>
      </c>
    </row>
    <row r="253" spans="1:25" x14ac:dyDescent="0.2">
      <c r="A253" s="15">
        <v>730</v>
      </c>
      <c r="B253" s="21">
        <f>Messdaten!Q253-Messdaten!C253</f>
        <v>173.80987000000005</v>
      </c>
      <c r="C253" s="15">
        <f>(B253-MIN(B:B))/(MAX(B:B)-MIN(B:B))</f>
        <v>7.9566524983073431E-3</v>
      </c>
      <c r="D253" s="15">
        <f t="shared" si="33"/>
        <v>2.9138853304420671E-5</v>
      </c>
      <c r="M253" s="15">
        <v>650</v>
      </c>
      <c r="N253" s="21">
        <f>Messdaten!Z253-Messdaten!L253</f>
        <v>630575.96343</v>
      </c>
      <c r="O253" s="15">
        <f t="shared" si="34"/>
        <v>0.91692459709554719</v>
      </c>
      <c r="P253" s="15">
        <f t="shared" si="35"/>
        <v>229222.1652949049</v>
      </c>
      <c r="Q253" s="15">
        <v>730</v>
      </c>
      <c r="R253" s="15">
        <f>Messdaten!AE253-Messdaten!C253</f>
        <v>7225.7102199999999</v>
      </c>
      <c r="S253" s="15">
        <f t="shared" si="36"/>
        <v>7.1414673296726502E-2</v>
      </c>
      <c r="U253" s="15">
        <v>730</v>
      </c>
      <c r="V253" s="15">
        <f>Messdaten!AH253-Messdaten!C253</f>
        <v>2918.1427100000001</v>
      </c>
      <c r="W253" s="15">
        <f t="shared" si="37"/>
        <v>3.4099490397640042E-2</v>
      </c>
      <c r="Y253" s="22"/>
    </row>
    <row r="254" spans="1:25" x14ac:dyDescent="0.2">
      <c r="A254" s="15">
        <v>731</v>
      </c>
      <c r="B254" s="21">
        <f>Messdaten!Q254-Messdaten!C254</f>
        <v>276.58678999999995</v>
      </c>
      <c r="C254" s="15">
        <f>(B254-MIN(B:B))/(MAX(B:B)-MIN(B:B))</f>
        <v>8.8074868005145711E-3</v>
      </c>
      <c r="D254" s="15">
        <f t="shared" si="33"/>
        <v>4.6369184326244551E-5</v>
      </c>
      <c r="M254" s="15">
        <v>651</v>
      </c>
      <c r="N254" s="21">
        <f>Messdaten!Z254-Messdaten!L254</f>
        <v>610230.49885000009</v>
      </c>
      <c r="O254" s="15">
        <f t="shared" si="34"/>
        <v>0.8873540759140105</v>
      </c>
      <c r="P254" s="15">
        <f t="shared" si="35"/>
        <v>221826.33717042222</v>
      </c>
      <c r="Q254" s="15">
        <v>731</v>
      </c>
      <c r="R254" s="15">
        <f>Messdaten!AE254-Messdaten!C254</f>
        <v>7157.4035000000003</v>
      </c>
      <c r="S254" s="15">
        <f t="shared" si="36"/>
        <v>7.0752725459530194E-2</v>
      </c>
      <c r="U254" s="15">
        <v>731</v>
      </c>
      <c r="V254" s="15">
        <f>Messdaten!AH254-Messdaten!C254</f>
        <v>3172.6503199999997</v>
      </c>
      <c r="W254" s="15">
        <f t="shared" si="37"/>
        <v>3.6639772882978906E-2</v>
      </c>
    </row>
    <row r="255" spans="1:25" x14ac:dyDescent="0.2">
      <c r="A255" s="15">
        <v>732</v>
      </c>
      <c r="B255" s="21">
        <f>Messdaten!Q255-Messdaten!C255</f>
        <v>69.0708699999999</v>
      </c>
      <c r="C255" s="15">
        <f>(B255-MIN(B:B))/(MAX(B:B)-MIN(B:B))</f>
        <v>7.0895752013920149E-3</v>
      </c>
      <c r="D255" s="15">
        <f t="shared" si="33"/>
        <v>1.1579583763216135E-5</v>
      </c>
      <c r="M255" s="15">
        <v>652</v>
      </c>
      <c r="N255" s="21">
        <f>Messdaten!Z255-Messdaten!L255</f>
        <v>585489.37826999999</v>
      </c>
      <c r="O255" s="15">
        <f t="shared" si="34"/>
        <v>0.85139481692097485</v>
      </c>
      <c r="P255" s="15">
        <f t="shared" si="35"/>
        <v>212832.63369919956</v>
      </c>
      <c r="Q255" s="15">
        <v>732</v>
      </c>
      <c r="R255" s="15">
        <f>Messdaten!AE255-Messdaten!C255</f>
        <v>6530.58817</v>
      </c>
      <c r="S255" s="15">
        <f t="shared" si="36"/>
        <v>6.4678373594662497E-2</v>
      </c>
      <c r="U255" s="15">
        <v>732</v>
      </c>
      <c r="V255" s="15">
        <f>Messdaten!AH255-Messdaten!C255</f>
        <v>2606.3738999999996</v>
      </c>
      <c r="W255" s="15">
        <f t="shared" si="37"/>
        <v>3.0987674418864627E-2</v>
      </c>
      <c r="Y255" s="22"/>
    </row>
    <row r="256" spans="1:25" x14ac:dyDescent="0.2">
      <c r="A256" s="15">
        <v>733</v>
      </c>
      <c r="B256" s="21">
        <f>Messdaten!Q256-Messdaten!C256</f>
        <v>-101.99036999999998</v>
      </c>
      <c r="C256" s="15">
        <f>(B256-MIN(B:B))/(MAX(B:B)-MIN(B:B))</f>
        <v>5.6734520993365831E-3</v>
      </c>
      <c r="D256" s="15">
        <f t="shared" si="33"/>
        <v>-1.7098467595042708E-5</v>
      </c>
      <c r="M256" s="15">
        <v>653</v>
      </c>
      <c r="N256" s="21">
        <f>Messdaten!Z256-Messdaten!L256</f>
        <v>561341.6812799999</v>
      </c>
      <c r="O256" s="15">
        <f t="shared" si="34"/>
        <v>0.81629805211030215</v>
      </c>
      <c r="P256" s="15">
        <f t="shared" si="35"/>
        <v>204054.64704581592</v>
      </c>
      <c r="Q256" s="15">
        <v>733</v>
      </c>
      <c r="R256" s="15">
        <f>Messdaten!AE256-Messdaten!C256</f>
        <v>6759.0370199999998</v>
      </c>
      <c r="S256" s="15">
        <f t="shared" si="36"/>
        <v>6.6892229305601125E-2</v>
      </c>
      <c r="U256" s="15">
        <v>733</v>
      </c>
      <c r="V256" s="15">
        <f>Messdaten!AH256-Messdaten!C256</f>
        <v>2924.2661600000001</v>
      </c>
      <c r="W256" s="15">
        <f t="shared" si="37"/>
        <v>3.4160609563329621E-2</v>
      </c>
    </row>
    <row r="257" spans="1:25" x14ac:dyDescent="0.2">
      <c r="A257" s="15">
        <v>734</v>
      </c>
      <c r="B257" s="21">
        <f>Messdaten!Q257-Messdaten!C257</f>
        <v>-85.605139999999949</v>
      </c>
      <c r="C257" s="15">
        <f>(B257-MIN(B:B))/(MAX(B:B)-MIN(B:B))</f>
        <v>5.8090965196359564E-3</v>
      </c>
      <c r="D257" s="15">
        <f t="shared" si="33"/>
        <v>-1.4351518797893307E-5</v>
      </c>
      <c r="M257" s="15">
        <v>654</v>
      </c>
      <c r="N257" s="21">
        <f>Messdaten!Z257-Messdaten!L257</f>
        <v>531620.04865000001</v>
      </c>
      <c r="O257" s="15">
        <f t="shared" si="34"/>
        <v>0.77310001336415179</v>
      </c>
      <c r="P257" s="15">
        <f t="shared" si="35"/>
        <v>193250.46581681704</v>
      </c>
      <c r="Q257" s="15">
        <v>734</v>
      </c>
      <c r="R257" s="15">
        <f>Messdaten!AE257-Messdaten!C257</f>
        <v>6455.7351699999999</v>
      </c>
      <c r="S257" s="15">
        <f t="shared" si="36"/>
        <v>6.3952986964215947E-2</v>
      </c>
      <c r="U257" s="15">
        <v>734</v>
      </c>
      <c r="V257" s="15">
        <f>Messdaten!AH257-Messdaten!C257</f>
        <v>2780.7505700000002</v>
      </c>
      <c r="W257" s="15">
        <f t="shared" si="37"/>
        <v>3.2728156759069371E-2</v>
      </c>
      <c r="Y257" s="22"/>
    </row>
    <row r="258" spans="1:25" x14ac:dyDescent="0.2">
      <c r="A258" s="15">
        <v>735</v>
      </c>
      <c r="B258" s="21">
        <f>Messdaten!Q258-Messdaten!C258</f>
        <v>-275.48312999999996</v>
      </c>
      <c r="C258" s="15">
        <f>(B258-MIN(B:B))/(MAX(B:B)-MIN(B:B))</f>
        <v>4.2371997637674118E-3</v>
      </c>
      <c r="D258" s="15">
        <f t="shared" si="33"/>
        <v>-4.6184158085571587E-5</v>
      </c>
      <c r="M258" s="15">
        <v>655</v>
      </c>
      <c r="N258" s="21">
        <f>Messdaten!Z258-Messdaten!L258</f>
        <v>506091.94224999996</v>
      </c>
      <c r="O258" s="15">
        <f t="shared" si="34"/>
        <v>0.7359969328197149</v>
      </c>
      <c r="P258" s="15">
        <f t="shared" si="35"/>
        <v>183970.68326206016</v>
      </c>
      <c r="Q258" s="15">
        <v>735</v>
      </c>
      <c r="R258" s="15">
        <f>Messdaten!AE258-Messdaten!C258</f>
        <v>6571.9405200000001</v>
      </c>
      <c r="S258" s="15">
        <f t="shared" si="36"/>
        <v>6.5079111598851325E-2</v>
      </c>
      <c r="U258" s="15">
        <v>735</v>
      </c>
      <c r="V258" s="15">
        <f>Messdaten!AH258-Messdaten!C258</f>
        <v>2683.8881700000002</v>
      </c>
      <c r="W258" s="15">
        <f t="shared" si="37"/>
        <v>3.1761357148606298E-2</v>
      </c>
    </row>
    <row r="259" spans="1:25" x14ac:dyDescent="0.2">
      <c r="A259" s="15">
        <v>736</v>
      </c>
      <c r="B259" s="21">
        <f>Messdaten!Q259-Messdaten!C259</f>
        <v>-96.981520000000046</v>
      </c>
      <c r="C259" s="15">
        <f>(B259-MIN(B:B))/(MAX(B:B)-MIN(B:B))</f>
        <v>5.7149176481641863E-3</v>
      </c>
      <c r="D259" s="15">
        <f t="shared" si="33"/>
        <v>-1.6258744595572966E-5</v>
      </c>
      <c r="M259" s="15">
        <v>656</v>
      </c>
      <c r="N259" s="21">
        <f>Messdaten!Z259-Messdaten!L259</f>
        <v>474326.75919000001</v>
      </c>
      <c r="O259" s="15">
        <f t="shared" si="34"/>
        <v>0.68982875539532273</v>
      </c>
      <c r="P259" s="15">
        <f t="shared" si="35"/>
        <v>172423.64616537813</v>
      </c>
      <c r="Q259" s="15">
        <v>736</v>
      </c>
      <c r="R259" s="15">
        <f>Messdaten!AE259-Messdaten!C259</f>
        <v>6010.0176599999995</v>
      </c>
      <c r="S259" s="15">
        <f t="shared" si="36"/>
        <v>5.9633620703546032E-2</v>
      </c>
      <c r="U259" s="15">
        <v>736</v>
      </c>
      <c r="V259" s="15">
        <f>Messdaten!AH259-Messdaten!C259</f>
        <v>2774.0068099999999</v>
      </c>
      <c r="W259" s="15">
        <f t="shared" si="37"/>
        <v>3.2660846176830474E-2</v>
      </c>
      <c r="Y259" s="22"/>
    </row>
    <row r="260" spans="1:25" x14ac:dyDescent="0.2">
      <c r="A260" s="15">
        <v>737</v>
      </c>
      <c r="B260" s="21">
        <f>Messdaten!Q260-Messdaten!C260</f>
        <v>213.20651999999995</v>
      </c>
      <c r="C260" s="15">
        <f>(B260-MIN(B:B))/(MAX(B:B)-MIN(B:B))</f>
        <v>8.2827959672111817E-3</v>
      </c>
      <c r="D260" s="15">
        <f t="shared" ref="D260:D323" si="38">B260/SUM(B:B)</f>
        <v>3.5743617493218477E-5</v>
      </c>
      <c r="M260" s="15">
        <v>657</v>
      </c>
      <c r="N260" s="21">
        <f>Messdaten!Z260-Messdaten!L260</f>
        <v>439700.94547000004</v>
      </c>
      <c r="O260" s="15">
        <f>(N260-MIN(N:N))/(MAX(N:N)-MIN(N:N))</f>
        <v>0.63950287790016214</v>
      </c>
      <c r="P260" s="15">
        <f t="shared" ref="P260:P323" si="39">N260/MAX(N:N)*250000</f>
        <v>159836.73442706303</v>
      </c>
      <c r="Q260" s="15">
        <v>737</v>
      </c>
      <c r="R260" s="15">
        <f>Messdaten!AE260-Messdaten!C260</f>
        <v>5960.5294699999995</v>
      </c>
      <c r="S260" s="15">
        <f t="shared" ref="S260:S323" si="40">(R260-MIN(R:R))/(MAX(R:R)-MIN(R:R))</f>
        <v>5.9154039773042261E-2</v>
      </c>
      <c r="U260" s="15">
        <v>737</v>
      </c>
      <c r="V260" s="15">
        <f>Messdaten!AH260-Messdaten!C260</f>
        <v>2332.5643600000003</v>
      </c>
      <c r="W260" s="15">
        <f t="shared" ref="W260:W323" si="41">(V260-MIN(V:V))/(MAX(V:V)-MIN(V:V))</f>
        <v>2.8254736182633928E-2</v>
      </c>
    </row>
    <row r="261" spans="1:25" x14ac:dyDescent="0.2">
      <c r="A261" s="15">
        <v>738</v>
      </c>
      <c r="B261" s="21">
        <f>Messdaten!Q261-Messdaten!C261</f>
        <v>19.761819999999943</v>
      </c>
      <c r="C261" s="15">
        <f>(B261-MIN(B:B))/(MAX(B:B)-MIN(B:B))</f>
        <v>6.6813723563442047E-3</v>
      </c>
      <c r="D261" s="15">
        <f t="shared" si="38"/>
        <v>3.3130268954712681E-6</v>
      </c>
      <c r="M261" s="15">
        <v>658</v>
      </c>
      <c r="N261" s="21">
        <f>Messdaten!Z261-Messdaten!L261</f>
        <v>412495.8971</v>
      </c>
      <c r="O261" s="15">
        <f>(N261-MIN(N:N))/(MAX(N:N)-MIN(N:N))</f>
        <v>0.5999624950346546</v>
      </c>
      <c r="P261" s="15">
        <f t="shared" si="39"/>
        <v>149947.36271615373</v>
      </c>
      <c r="Q261" s="15">
        <v>738</v>
      </c>
      <c r="R261" s="15">
        <f>Messdaten!AE261-Messdaten!C261</f>
        <v>5741.1829900000002</v>
      </c>
      <c r="S261" s="15">
        <f t="shared" si="40"/>
        <v>5.7028393452553963E-2</v>
      </c>
      <c r="U261" s="15">
        <v>738</v>
      </c>
      <c r="V261" s="15">
        <f>Messdaten!AH261-Messdaten!C261</f>
        <v>2442.6046699999997</v>
      </c>
      <c r="W261" s="15">
        <f t="shared" si="41"/>
        <v>2.9353066689035125E-2</v>
      </c>
      <c r="Y261" s="22"/>
    </row>
    <row r="262" spans="1:25" x14ac:dyDescent="0.2">
      <c r="A262" s="15">
        <v>739</v>
      </c>
      <c r="B262" s="21">
        <f>Messdaten!Q262-Messdaten!C262</f>
        <v>202.14954</v>
      </c>
      <c r="C262" s="15">
        <f>(B262-MIN(B:B))/(MAX(B:B)-MIN(B:B))</f>
        <v>8.1912612348722554E-3</v>
      </c>
      <c r="D262" s="15">
        <f t="shared" si="38"/>
        <v>3.3889938423037296E-5</v>
      </c>
      <c r="M262" s="15">
        <v>659</v>
      </c>
      <c r="N262" s="21">
        <f>Messdaten!Z262-Messdaten!L262</f>
        <v>373893.19617000001</v>
      </c>
      <c r="O262" s="15">
        <f>(N262-MIN(N:N))/(MAX(N:N)-MIN(N:N))</f>
        <v>0.54385652699314724</v>
      </c>
      <c r="P262" s="15">
        <f t="shared" si="39"/>
        <v>135914.80326800322</v>
      </c>
      <c r="Q262" s="15">
        <v>739</v>
      </c>
      <c r="R262" s="15">
        <f>Messdaten!AE262-Messdaten!C262</f>
        <v>6138.20363</v>
      </c>
      <c r="S262" s="15">
        <f t="shared" si="40"/>
        <v>6.0875847319030015E-2</v>
      </c>
      <c r="U262" s="15">
        <v>739</v>
      </c>
      <c r="V262" s="15">
        <f>Messdaten!AH262-Messdaten!C262</f>
        <v>2545.15436</v>
      </c>
      <c r="W262" s="15">
        <f t="shared" si="41"/>
        <v>3.0376632080199389E-2</v>
      </c>
    </row>
    <row r="263" spans="1:25" x14ac:dyDescent="0.2">
      <c r="A263" s="15">
        <v>740</v>
      </c>
      <c r="B263" s="21">
        <f>Messdaten!Q263-Messdaten!C263</f>
        <v>-77.113450000000057</v>
      </c>
      <c r="C263" s="15">
        <f>(B263-MIN(B:B))/(MAX(B:B)-MIN(B:B))</f>
        <v>5.879394609282055E-3</v>
      </c>
      <c r="D263" s="15">
        <f t="shared" si="38"/>
        <v>-1.2927905114639229E-5</v>
      </c>
      <c r="M263" s="15">
        <v>660</v>
      </c>
      <c r="N263" s="21">
        <f>Messdaten!Z263-Messdaten!L263</f>
        <v>345227.72904000001</v>
      </c>
      <c r="O263" s="15">
        <f>(N263-MIN(N:N))/(MAX(N:N)-MIN(N:N))</f>
        <v>0.50219354114127468</v>
      </c>
      <c r="P263" s="15">
        <f t="shared" si="39"/>
        <v>125494.55126698014</v>
      </c>
      <c r="Q263" s="15">
        <v>740</v>
      </c>
      <c r="R263" s="15">
        <f>Messdaten!AE263-Messdaten!C263</f>
        <v>5397.5205000000005</v>
      </c>
      <c r="S263" s="15">
        <f t="shared" si="40"/>
        <v>5.3698023585855632E-2</v>
      </c>
      <c r="U263" s="15">
        <v>740</v>
      </c>
      <c r="V263" s="15">
        <f>Messdaten!AH263-Messdaten!C263</f>
        <v>2456.9809</v>
      </c>
      <c r="W263" s="15">
        <f t="shared" si="41"/>
        <v>2.9496558214786379E-2</v>
      </c>
      <c r="Y263" s="22"/>
    </row>
    <row r="264" spans="1:25" x14ac:dyDescent="0.2">
      <c r="A264" s="15">
        <v>741</v>
      </c>
      <c r="B264" s="21">
        <f>Messdaten!Q264-Messdaten!C264</f>
        <v>162.18081999999993</v>
      </c>
      <c r="C264" s="15">
        <f>(B264-MIN(B:B))/(MAX(B:B)-MIN(B:B))</f>
        <v>7.8603819091314555E-3</v>
      </c>
      <c r="D264" s="15">
        <f t="shared" si="38"/>
        <v>2.7189267921152295E-5</v>
      </c>
      <c r="P264" s="15">
        <f t="shared" si="39"/>
        <v>0</v>
      </c>
      <c r="Q264" s="15">
        <v>741</v>
      </c>
      <c r="R264" s="15">
        <f>Messdaten!AE264-Messdaten!C264</f>
        <v>4906.6608899999992</v>
      </c>
      <c r="S264" s="15">
        <f t="shared" si="40"/>
        <v>4.8941193552053279E-2</v>
      </c>
      <c r="U264" s="15">
        <v>741</v>
      </c>
      <c r="V264" s="15">
        <f>Messdaten!AH264-Messdaten!C264</f>
        <v>2433.5540100000003</v>
      </c>
      <c r="W264" s="15">
        <f t="shared" si="41"/>
        <v>2.9262730556929861E-2</v>
      </c>
    </row>
    <row r="265" spans="1:25" x14ac:dyDescent="0.2">
      <c r="A265" s="15">
        <v>742</v>
      </c>
      <c r="B265" s="21">
        <f>Messdaten!Q265-Messdaten!C265</f>
        <v>-108.10379</v>
      </c>
      <c r="C265" s="15">
        <f>(B265-MIN(B:B))/(MAX(B:B)-MIN(B:B))</f>
        <v>5.6228424153744669E-3</v>
      </c>
      <c r="D265" s="15">
        <f t="shared" si="38"/>
        <v>-1.812336939474092E-5</v>
      </c>
      <c r="P265" s="15">
        <f t="shared" si="39"/>
        <v>0</v>
      </c>
      <c r="Q265" s="15">
        <v>742</v>
      </c>
      <c r="R265" s="15">
        <f>Messdaten!AE265-Messdaten!C265</f>
        <v>4943.9853899999998</v>
      </c>
      <c r="S265" s="15">
        <f t="shared" si="40"/>
        <v>4.9302898404071274E-2</v>
      </c>
      <c r="U265" s="15">
        <v>742</v>
      </c>
      <c r="V265" s="15">
        <f>Messdaten!AH265-Messdaten!C265</f>
        <v>1957.2293500000001</v>
      </c>
      <c r="W265" s="15">
        <f t="shared" si="41"/>
        <v>2.4508455464200843E-2</v>
      </c>
    </row>
    <row r="266" spans="1:25" x14ac:dyDescent="0.2">
      <c r="A266" s="15">
        <v>743</v>
      </c>
      <c r="B266" s="21">
        <f>Messdaten!Q266-Messdaten!C266</f>
        <v>-43.470109999999977</v>
      </c>
      <c r="C266" s="15">
        <f>(B266-MIN(B:B))/(MAX(B:B)-MIN(B:B))</f>
        <v>6.1579095493368898E-3</v>
      </c>
      <c r="D266" s="15">
        <f t="shared" si="38"/>
        <v>-7.2876710535312468E-6</v>
      </c>
      <c r="P266" s="15">
        <f t="shared" si="39"/>
        <v>0</v>
      </c>
      <c r="Q266" s="15">
        <v>743</v>
      </c>
      <c r="R266" s="15">
        <f>Messdaten!AE266-Messdaten!C266</f>
        <v>5505.8118999999997</v>
      </c>
      <c r="S266" s="15">
        <f t="shared" si="40"/>
        <v>5.4747455589280195E-2</v>
      </c>
      <c r="U266" s="15">
        <v>743</v>
      </c>
      <c r="V266" s="15">
        <f>Messdaten!AH266-Messdaten!C266</f>
        <v>2001.1324</v>
      </c>
      <c r="W266" s="15">
        <f t="shared" si="41"/>
        <v>2.4946659056494042E-2</v>
      </c>
    </row>
    <row r="267" spans="1:25" x14ac:dyDescent="0.2">
      <c r="A267" s="15">
        <v>744</v>
      </c>
      <c r="B267" s="21">
        <f>Messdaten!Q267-Messdaten!C267</f>
        <v>235.72209999999995</v>
      </c>
      <c r="C267" s="15">
        <f>(B267-MIN(B:B))/(MAX(B:B)-MIN(B:B))</f>
        <v>8.4691902257479322E-3</v>
      </c>
      <c r="D267" s="15">
        <f t="shared" si="38"/>
        <v>3.9518306368389652E-5</v>
      </c>
      <c r="P267" s="15">
        <f t="shared" si="39"/>
        <v>0</v>
      </c>
      <c r="Q267" s="15">
        <v>744</v>
      </c>
      <c r="R267" s="15">
        <f>Messdaten!AE267-Messdaten!C267</f>
        <v>4814.0819700000002</v>
      </c>
      <c r="S267" s="15">
        <f t="shared" si="40"/>
        <v>4.8044028297097835E-2</v>
      </c>
      <c r="U267" s="15">
        <v>744</v>
      </c>
      <c r="V267" s="15">
        <f>Messdaten!AH267-Messdaten!C267</f>
        <v>1707.91291</v>
      </c>
      <c r="W267" s="15">
        <f t="shared" si="41"/>
        <v>2.2019986903912842E-2</v>
      </c>
    </row>
    <row r="268" spans="1:25" x14ac:dyDescent="0.2">
      <c r="A268" s="15">
        <v>745</v>
      </c>
      <c r="B268" s="21">
        <f>Messdaten!Q268-Messdaten!C268</f>
        <v>-384.77239999999995</v>
      </c>
      <c r="C268" s="15">
        <f>(B268-MIN(B:B))/(MAX(B:B)-MIN(B:B))</f>
        <v>3.3324532527882222E-3</v>
      </c>
      <c r="D268" s="15">
        <f t="shared" si="38"/>
        <v>-6.450627066915054E-5</v>
      </c>
      <c r="P268" s="15">
        <f t="shared" si="39"/>
        <v>0</v>
      </c>
      <c r="Q268" s="15">
        <v>745</v>
      </c>
      <c r="R268" s="15">
        <f>Messdaten!AE268-Messdaten!C268</f>
        <v>4521.5125399999997</v>
      </c>
      <c r="S268" s="15">
        <f t="shared" si="40"/>
        <v>4.520879186035693E-2</v>
      </c>
      <c r="U268" s="15">
        <v>745</v>
      </c>
      <c r="V268" s="15">
        <f>Messdaten!AH268-Messdaten!C268</f>
        <v>1221.8788</v>
      </c>
      <c r="W268" s="15">
        <f t="shared" si="41"/>
        <v>1.716880018729457E-2</v>
      </c>
    </row>
    <row r="269" spans="1:25" x14ac:dyDescent="0.2">
      <c r="A269" s="15">
        <v>746</v>
      </c>
      <c r="B269" s="21">
        <f>Messdaten!Q269-Messdaten!C269</f>
        <v>-16.337130000000002</v>
      </c>
      <c r="C269" s="15">
        <f>(B269-MIN(B:B))/(MAX(B:B)-MIN(B:B))</f>
        <v>6.3825287547489866E-3</v>
      </c>
      <c r="D269" s="15">
        <f t="shared" si="38"/>
        <v>-2.7388849349306227E-6</v>
      </c>
      <c r="P269" s="15">
        <f t="shared" si="39"/>
        <v>0</v>
      </c>
      <c r="Q269" s="15">
        <v>746</v>
      </c>
      <c r="R269" s="15">
        <f>Messdaten!AE269-Messdaten!C269</f>
        <v>4101.6897799999997</v>
      </c>
      <c r="S269" s="15">
        <f t="shared" si="40"/>
        <v>4.1140366850522053E-2</v>
      </c>
      <c r="U269" s="15">
        <v>746</v>
      </c>
      <c r="V269" s="15">
        <f>Messdaten!AH269-Messdaten!C269</f>
        <v>2064.5030199999997</v>
      </c>
      <c r="W269" s="15">
        <f t="shared" si="41"/>
        <v>2.5579171679873215E-2</v>
      </c>
    </row>
    <row r="270" spans="1:25" x14ac:dyDescent="0.2">
      <c r="A270" s="15">
        <v>747</v>
      </c>
      <c r="B270" s="21">
        <f>Messdaten!Q270-Messdaten!C270</f>
        <v>351.09827999999999</v>
      </c>
      <c r="C270" s="15">
        <f>(B270-MIN(B:B))/(MAX(B:B)-MIN(B:B))</f>
        <v>9.4243269587969032E-3</v>
      </c>
      <c r="D270" s="15">
        <f t="shared" si="38"/>
        <v>5.8860876406814019E-5</v>
      </c>
      <c r="P270" s="15">
        <f t="shared" si="39"/>
        <v>0</v>
      </c>
      <c r="Q270" s="15">
        <v>747</v>
      </c>
      <c r="R270" s="15">
        <f>Messdaten!AE270-Messdaten!C270</f>
        <v>4189.3265599999995</v>
      </c>
      <c r="S270" s="15">
        <f t="shared" si="40"/>
        <v>4.198963873738544E-2</v>
      </c>
      <c r="U270" s="15">
        <v>747</v>
      </c>
      <c r="V270" s="15">
        <f>Messdaten!AH270-Messdaten!C270</f>
        <v>1993.5272699999998</v>
      </c>
      <c r="W270" s="15">
        <f t="shared" si="41"/>
        <v>2.4870750998036668E-2</v>
      </c>
    </row>
    <row r="271" spans="1:25" x14ac:dyDescent="0.2">
      <c r="A271" s="15">
        <v>748</v>
      </c>
      <c r="B271" s="21">
        <f>Messdaten!Q271-Messdaten!C271</f>
        <v>-85.963660000000004</v>
      </c>
      <c r="C271" s="15">
        <f>(B271-MIN(B:B))/(MAX(B:B)-MIN(B:B))</f>
        <v>5.8061285272693096E-3</v>
      </c>
      <c r="D271" s="15">
        <f t="shared" si="38"/>
        <v>-1.4411623909799223E-5</v>
      </c>
      <c r="P271" s="15">
        <f t="shared" si="39"/>
        <v>0</v>
      </c>
      <c r="Q271" s="15">
        <v>748</v>
      </c>
      <c r="R271" s="15">
        <f>Messdaten!AE271-Messdaten!C271</f>
        <v>3904.7177100000004</v>
      </c>
      <c r="S271" s="15">
        <f t="shared" si="40"/>
        <v>3.9231546814593218E-2</v>
      </c>
      <c r="U271" s="15">
        <v>748</v>
      </c>
      <c r="V271" s="15">
        <f>Messdaten!AH271-Messdaten!C271</f>
        <v>1521.72964</v>
      </c>
      <c r="W271" s="15">
        <f t="shared" si="41"/>
        <v>2.016166093934103E-2</v>
      </c>
    </row>
    <row r="272" spans="1:25" x14ac:dyDescent="0.2">
      <c r="A272" s="15">
        <v>749</v>
      </c>
      <c r="B272" s="21">
        <f>Messdaten!Q272-Messdaten!C272</f>
        <v>-87.484109999999987</v>
      </c>
      <c r="C272" s="15">
        <f>(B272-MIN(B:B))/(MAX(B:B)-MIN(B:B))</f>
        <v>5.7935415474805498E-3</v>
      </c>
      <c r="D272" s="15">
        <f t="shared" si="38"/>
        <v>-1.4666524103365363E-5</v>
      </c>
      <c r="P272" s="15">
        <f t="shared" si="39"/>
        <v>0</v>
      </c>
      <c r="Q272" s="15">
        <v>749</v>
      </c>
      <c r="R272" s="15">
        <f>Messdaten!AE272-Messdaten!C272</f>
        <v>3845.1973200000002</v>
      </c>
      <c r="S272" s="15">
        <f t="shared" si="40"/>
        <v>3.8654745682441344E-2</v>
      </c>
      <c r="U272" s="15">
        <v>749</v>
      </c>
      <c r="V272" s="15">
        <f>Messdaten!AH272-Messdaten!C272</f>
        <v>1902.5571400000001</v>
      </c>
      <c r="W272" s="15">
        <f t="shared" si="41"/>
        <v>2.396276310750562E-2</v>
      </c>
    </row>
    <row r="273" spans="1:23" x14ac:dyDescent="0.2">
      <c r="A273" s="15">
        <v>750</v>
      </c>
      <c r="B273" s="21">
        <f>Messdaten!Q273-Messdaten!C273</f>
        <v>-238.51886999999999</v>
      </c>
      <c r="C273" s="15">
        <f>(B273-MIN(B:B))/(MAX(B:B)-MIN(B:B))</f>
        <v>4.5432067969000105E-3</v>
      </c>
      <c r="D273" s="15">
        <f t="shared" si="38"/>
        <v>-3.9987178882684756E-5</v>
      </c>
      <c r="P273" s="15">
        <f t="shared" si="39"/>
        <v>0</v>
      </c>
      <c r="Q273" s="15">
        <v>750</v>
      </c>
      <c r="R273" s="15">
        <f>Messdaten!AE273-Messdaten!C273</f>
        <v>3856.9059999999999</v>
      </c>
      <c r="S273" s="15">
        <f t="shared" si="40"/>
        <v>3.8768212342858113E-2</v>
      </c>
      <c r="U273" s="15">
        <v>750</v>
      </c>
      <c r="V273" s="15">
        <f>Messdaten!AH273-Messdaten!C273</f>
        <v>2224.0663599999998</v>
      </c>
      <c r="W273" s="15">
        <f t="shared" si="41"/>
        <v>2.7171799727043082E-2</v>
      </c>
    </row>
    <row r="274" spans="1:23" x14ac:dyDescent="0.2">
      <c r="A274" s="15">
        <v>751</v>
      </c>
      <c r="B274" s="21">
        <f>Messdaten!Q274-Messdaten!C274</f>
        <v>238.96292000000005</v>
      </c>
      <c r="C274" s="15">
        <f>(B274-MIN(B:B))/(MAX(B:B)-MIN(B:B))</f>
        <v>8.4960192144282656E-3</v>
      </c>
      <c r="D274" s="15">
        <f t="shared" si="38"/>
        <v>4.0061622916328126E-5</v>
      </c>
      <c r="P274" s="15">
        <f t="shared" si="39"/>
        <v>0</v>
      </c>
      <c r="Q274" s="15">
        <v>751</v>
      </c>
      <c r="R274" s="15">
        <f>Messdaten!AE274-Messdaten!C274</f>
        <v>4012.0359899999999</v>
      </c>
      <c r="S274" s="15">
        <f t="shared" si="40"/>
        <v>4.0271548491406683E-2</v>
      </c>
      <c r="U274" s="15">
        <v>751</v>
      </c>
      <c r="V274" s="15">
        <f>Messdaten!AH274-Messdaten!C274</f>
        <v>1837.93993</v>
      </c>
      <c r="W274" s="15">
        <f t="shared" si="41"/>
        <v>2.3317808063471914E-2</v>
      </c>
    </row>
    <row r="275" spans="1:23" x14ac:dyDescent="0.2">
      <c r="A275" s="15">
        <v>752</v>
      </c>
      <c r="B275" s="21">
        <f>Messdaten!Q275-Messdaten!C275</f>
        <v>-180.31131999999997</v>
      </c>
      <c r="C275" s="15">
        <f>(B275-MIN(B:B))/(MAX(B:B)-MIN(B:B))</f>
        <v>5.0250754906441143E-3</v>
      </c>
      <c r="D275" s="15">
        <f t="shared" si="38"/>
        <v>-3.0228807504467097E-5</v>
      </c>
      <c r="P275" s="15">
        <f t="shared" si="39"/>
        <v>0</v>
      </c>
      <c r="Q275" s="15">
        <v>752</v>
      </c>
      <c r="R275" s="15">
        <f>Messdaten!AE275-Messdaten!C275</f>
        <v>3383.71974</v>
      </c>
      <c r="S275" s="15">
        <f t="shared" si="40"/>
        <v>3.4182651487381331E-2</v>
      </c>
      <c r="U275" s="15">
        <v>752</v>
      </c>
      <c r="V275" s="15">
        <f>Messdaten!AH275-Messdaten!C275</f>
        <v>1727.26613</v>
      </c>
      <c r="W275" s="15">
        <f t="shared" si="41"/>
        <v>2.221315458876482E-2</v>
      </c>
    </row>
    <row r="276" spans="1:23" x14ac:dyDescent="0.2">
      <c r="A276" s="15">
        <v>753</v>
      </c>
      <c r="B276" s="21">
        <f>Messdaten!Q276-Messdaten!C276</f>
        <v>265.40818999999999</v>
      </c>
      <c r="C276" s="15">
        <f>(B276-MIN(B:B))/(MAX(B:B)-MIN(B:B))</f>
        <v>8.714945242247852E-3</v>
      </c>
      <c r="D276" s="15">
        <f t="shared" si="38"/>
        <v>4.4495115922943885E-5</v>
      </c>
      <c r="P276" s="15">
        <f t="shared" si="39"/>
        <v>0</v>
      </c>
      <c r="Q276" s="15">
        <v>753</v>
      </c>
      <c r="R276" s="15">
        <f>Messdaten!AE276-Messdaten!C276</f>
        <v>3313.3427700000002</v>
      </c>
      <c r="S276" s="15">
        <f t="shared" si="40"/>
        <v>3.3500641238903145E-2</v>
      </c>
      <c r="U276" s="15">
        <v>753</v>
      </c>
      <c r="V276" s="15">
        <f>Messdaten!AH276-Messdaten!C276</f>
        <v>2180.8634999999999</v>
      </c>
      <c r="W276" s="15">
        <f t="shared" si="41"/>
        <v>2.6740584846770755E-2</v>
      </c>
    </row>
    <row r="277" spans="1:23" x14ac:dyDescent="0.2">
      <c r="A277" s="15">
        <v>754</v>
      </c>
      <c r="B277" s="21">
        <f>Messdaten!Q277-Messdaten!C277</f>
        <v>-241.55145000000005</v>
      </c>
      <c r="C277" s="15">
        <f>(B277-MIN(B:B))/(MAX(B:B)-MIN(B:B))</f>
        <v>4.518101714083872E-3</v>
      </c>
      <c r="D277" s="15">
        <f t="shared" si="38"/>
        <v>-4.0495584439595431E-5</v>
      </c>
      <c r="P277" s="15">
        <f t="shared" si="39"/>
        <v>0</v>
      </c>
      <c r="Q277" s="15">
        <v>754</v>
      </c>
      <c r="R277" s="15">
        <f>Messdaten!AE277-Messdaten!C277</f>
        <v>2912.0733499999997</v>
      </c>
      <c r="S277" s="15">
        <f t="shared" si="40"/>
        <v>2.9612013228335218E-2</v>
      </c>
      <c r="U277" s="15">
        <v>754</v>
      </c>
      <c r="V277" s="15">
        <f>Messdaten!AH277-Messdaten!C277</f>
        <v>1034.09239</v>
      </c>
      <c r="W277" s="15">
        <f t="shared" si="41"/>
        <v>1.5294473017636803E-2</v>
      </c>
    </row>
    <row r="278" spans="1:23" x14ac:dyDescent="0.2">
      <c r="A278" s="15">
        <v>755</v>
      </c>
      <c r="B278" s="21">
        <f>Messdaten!Q278-Messdaten!C278</f>
        <v>-147.07416999999998</v>
      </c>
      <c r="C278" s="15">
        <f>(B278-MIN(B:B))/(MAX(B:B)-MIN(B:B))</f>
        <v>5.3002278042920325E-3</v>
      </c>
      <c r="D278" s="15">
        <f t="shared" si="38"/>
        <v>-2.4656670328902645E-5</v>
      </c>
      <c r="P278" s="15">
        <f t="shared" si="39"/>
        <v>0</v>
      </c>
      <c r="Q278" s="15">
        <v>755</v>
      </c>
      <c r="R278" s="15">
        <f>Messdaten!AE278-Messdaten!C278</f>
        <v>3033.3764200000001</v>
      </c>
      <c r="S278" s="15">
        <f t="shared" si="40"/>
        <v>3.0787538928175196E-2</v>
      </c>
      <c r="U278" s="15">
        <v>755</v>
      </c>
      <c r="V278" s="15">
        <f>Messdaten!AH278-Messdaten!C278</f>
        <v>1320.8699499999998</v>
      </c>
      <c r="W278" s="15">
        <f t="shared" si="41"/>
        <v>1.8156847203053952E-2</v>
      </c>
    </row>
    <row r="279" spans="1:23" x14ac:dyDescent="0.2">
      <c r="A279" s="15">
        <v>756</v>
      </c>
      <c r="B279" s="21">
        <f>Messdaten!Q279-Messdaten!C279</f>
        <v>-162.46118999999999</v>
      </c>
      <c r="C279" s="15">
        <f>(B279-MIN(B:B))/(MAX(B:B)-MIN(B:B))</f>
        <v>5.1728470224516286E-3</v>
      </c>
      <c r="D279" s="15">
        <f t="shared" si="38"/>
        <v>-2.7236271352550999E-5</v>
      </c>
      <c r="P279" s="15">
        <f t="shared" si="39"/>
        <v>0</v>
      </c>
      <c r="Q279" s="15">
        <v>756</v>
      </c>
      <c r="R279" s="15">
        <f>Messdaten!AE279-Messdaten!C279</f>
        <v>2895.6793000000002</v>
      </c>
      <c r="S279" s="15">
        <f t="shared" si="40"/>
        <v>2.9453141510583467E-2</v>
      </c>
      <c r="U279" s="15">
        <v>756</v>
      </c>
      <c r="V279" s="15">
        <f>Messdaten!AH279-Messdaten!C279</f>
        <v>900.11332000000004</v>
      </c>
      <c r="W279" s="15">
        <f t="shared" si="41"/>
        <v>1.3957205794377783E-2</v>
      </c>
    </row>
    <row r="280" spans="1:23" x14ac:dyDescent="0.2">
      <c r="A280" s="15">
        <v>757</v>
      </c>
      <c r="B280" s="21">
        <f>Messdaten!Q280-Messdaten!C280</f>
        <v>-200.31479999999999</v>
      </c>
      <c r="C280" s="15">
        <f>(B280-MIN(B:B))/(MAX(B:B)-MIN(B:B))</f>
        <v>4.8594775436778485E-3</v>
      </c>
      <c r="D280" s="15">
        <f t="shared" si="38"/>
        <v>-3.3582348182553527E-5</v>
      </c>
      <c r="P280" s="15">
        <f t="shared" si="39"/>
        <v>0</v>
      </c>
      <c r="Q280" s="15">
        <v>757</v>
      </c>
      <c r="R280" s="15">
        <f>Messdaten!AE280-Messdaten!C280</f>
        <v>2643.3554199999999</v>
      </c>
      <c r="S280" s="15">
        <f t="shared" si="40"/>
        <v>2.7007917283172415E-2</v>
      </c>
      <c r="U280" s="15">
        <v>757</v>
      </c>
      <c r="V280" s="15">
        <f>Messdaten!AH280-Messdaten!C280</f>
        <v>984.85770000000002</v>
      </c>
      <c r="W280" s="15">
        <f t="shared" si="41"/>
        <v>1.4803053446025217E-2</v>
      </c>
    </row>
    <row r="281" spans="1:23" x14ac:dyDescent="0.2">
      <c r="A281" s="15">
        <v>758</v>
      </c>
      <c r="B281" s="21">
        <f>Messdaten!Q281-Messdaten!C281</f>
        <v>356.7425199999999</v>
      </c>
      <c r="C281" s="15">
        <f>(B281-MIN(B:B))/(MAX(B:B)-MIN(B:B))</f>
        <v>9.4710525563521733E-3</v>
      </c>
      <c r="D281" s="15">
        <f t="shared" si="38"/>
        <v>5.9807121182067234E-5</v>
      </c>
      <c r="P281" s="15">
        <f t="shared" si="39"/>
        <v>0</v>
      </c>
      <c r="Q281" s="15">
        <v>758</v>
      </c>
      <c r="R281" s="15">
        <f>Messdaten!AE281-Messdaten!C281</f>
        <v>3131.4463299999998</v>
      </c>
      <c r="S281" s="15">
        <f t="shared" si="40"/>
        <v>3.1737916355440585E-2</v>
      </c>
      <c r="U281" s="15">
        <v>758</v>
      </c>
      <c r="V281" s="15">
        <f>Messdaten!AH281-Messdaten!C281</f>
        <v>1653.0425999999998</v>
      </c>
      <c r="W281" s="15">
        <f t="shared" si="41"/>
        <v>2.1472317278402962E-2</v>
      </c>
    </row>
    <row r="282" spans="1:23" x14ac:dyDescent="0.2">
      <c r="A282" s="15">
        <v>759</v>
      </c>
      <c r="B282" s="21">
        <f>Messdaten!Q282-Messdaten!C282</f>
        <v>260.01445999999999</v>
      </c>
      <c r="C282" s="15">
        <f>(B282-MIN(B:B))/(MAX(B:B)-MIN(B:B))</f>
        <v>8.6702934809298055E-3</v>
      </c>
      <c r="D282" s="15">
        <f t="shared" si="38"/>
        <v>4.359086861389491E-5</v>
      </c>
      <c r="P282" s="15">
        <f t="shared" si="39"/>
        <v>0</v>
      </c>
      <c r="Q282" s="15">
        <v>759</v>
      </c>
      <c r="R282" s="15">
        <f>Messdaten!AE282-Messdaten!C282</f>
        <v>2557.6329599999999</v>
      </c>
      <c r="S282" s="15">
        <f t="shared" si="40"/>
        <v>2.6177196718692852E-2</v>
      </c>
      <c r="U282" s="15">
        <v>759</v>
      </c>
      <c r="V282" s="15">
        <f>Messdaten!AH282-Messdaten!C282</f>
        <v>817.36973</v>
      </c>
      <c r="W282" s="15">
        <f t="shared" si="41"/>
        <v>1.313132835813507E-2</v>
      </c>
    </row>
    <row r="283" spans="1:23" x14ac:dyDescent="0.2">
      <c r="A283" s="15">
        <v>760</v>
      </c>
      <c r="B283" s="21">
        <f>Messdaten!Q283-Messdaten!C283</f>
        <v>-156.68581000000006</v>
      </c>
      <c r="C283" s="15">
        <f>(B283-MIN(B:B))/(MAX(B:B)-MIN(B:B))</f>
        <v>5.2206582568443457E-3</v>
      </c>
      <c r="D283" s="15">
        <f t="shared" si="38"/>
        <v>-2.6268041236520861E-5</v>
      </c>
      <c r="P283" s="15">
        <f t="shared" si="39"/>
        <v>0</v>
      </c>
      <c r="Q283" s="15">
        <v>760</v>
      </c>
      <c r="R283" s="15">
        <f>Messdaten!AE283-Messdaten!C283</f>
        <v>2457.4605799999999</v>
      </c>
      <c r="S283" s="15">
        <f t="shared" si="40"/>
        <v>2.5206444642062509E-2</v>
      </c>
      <c r="U283" s="15">
        <v>760</v>
      </c>
      <c r="V283" s="15">
        <f>Messdaten!AH283-Messdaten!C283</f>
        <v>1301.53964</v>
      </c>
      <c r="W283" s="15">
        <f t="shared" si="41"/>
        <v>1.7963908186695382E-2</v>
      </c>
    </row>
    <row r="284" spans="1:23" x14ac:dyDescent="0.2">
      <c r="A284" s="15">
        <v>761</v>
      </c>
      <c r="B284" s="21">
        <f>Messdaten!Q284-Messdaten!C284</f>
        <v>-606.61937</v>
      </c>
      <c r="C284" s="15">
        <f>(B284-MIN(B:B))/(MAX(B:B)-MIN(B:B))</f>
        <v>1.4959026739545917E-3</v>
      </c>
      <c r="D284" s="15">
        <f t="shared" si="38"/>
        <v>-1.0169844114174922E-4</v>
      </c>
      <c r="P284" s="15">
        <f t="shared" si="39"/>
        <v>0</v>
      </c>
      <c r="Q284" s="15">
        <v>761</v>
      </c>
      <c r="R284" s="15">
        <f>Messdaten!AE284-Messdaten!C284</f>
        <v>1364.5168699999999</v>
      </c>
      <c r="S284" s="15">
        <f t="shared" si="40"/>
        <v>1.4614928536299896E-2</v>
      </c>
      <c r="U284" s="15">
        <v>761</v>
      </c>
      <c r="V284" s="15">
        <f>Messdaten!AH284-Messdaten!C284</f>
        <v>166.16561000000002</v>
      </c>
      <c r="W284" s="15">
        <f t="shared" si="41"/>
        <v>6.6315524951794987E-3</v>
      </c>
    </row>
    <row r="285" spans="1:23" x14ac:dyDescent="0.2">
      <c r="A285" s="15">
        <v>762</v>
      </c>
      <c r="B285" s="21">
        <f>Messdaten!Q285-Messdaten!C285</f>
        <v>-370.57664999999997</v>
      </c>
      <c r="C285" s="15">
        <f>(B285-MIN(B:B))/(MAX(B:B)-MIN(B:B))</f>
        <v>3.4499721572811594E-3</v>
      </c>
      <c r="D285" s="15">
        <f t="shared" si="38"/>
        <v>-6.2126383515468021E-5</v>
      </c>
      <c r="P285" s="15">
        <f t="shared" si="39"/>
        <v>0</v>
      </c>
      <c r="Q285" s="15">
        <v>762</v>
      </c>
      <c r="R285" s="15">
        <f>Messdaten!AE285-Messdaten!C285</f>
        <v>1937.4219200000002</v>
      </c>
      <c r="S285" s="15">
        <f t="shared" si="40"/>
        <v>2.016684581129637E-2</v>
      </c>
      <c r="U285" s="15">
        <v>762</v>
      </c>
      <c r="V285" s="15">
        <f>Messdaten!AH285-Messdaten!C285</f>
        <v>566.23152000000005</v>
      </c>
      <c r="W285" s="15">
        <f t="shared" si="41"/>
        <v>1.0624676410626095E-2</v>
      </c>
    </row>
    <row r="286" spans="1:23" x14ac:dyDescent="0.2">
      <c r="A286" s="15">
        <v>763</v>
      </c>
      <c r="B286" s="21">
        <f>Messdaten!Q286-Messdaten!C286</f>
        <v>-188.84164999999996</v>
      </c>
      <c r="C286" s="15">
        <f>(B286-MIN(B:B))/(MAX(B:B)-MIN(B:B))</f>
        <v>4.9544575214235222E-3</v>
      </c>
      <c r="D286" s="15">
        <f t="shared" si="38"/>
        <v>-3.1658899101154321E-5</v>
      </c>
      <c r="P286" s="15">
        <f t="shared" si="39"/>
        <v>0</v>
      </c>
      <c r="Q286" s="15">
        <v>763</v>
      </c>
      <c r="R286" s="15">
        <f>Messdaten!AE286-Messdaten!C286</f>
        <v>2165.2000200000002</v>
      </c>
      <c r="S286" s="15">
        <f t="shared" si="40"/>
        <v>2.2374201407578641E-2</v>
      </c>
      <c r="U286" s="15">
        <v>763</v>
      </c>
      <c r="V286" s="15">
        <f>Messdaten!AH286-Messdaten!C286</f>
        <v>1092.4510799999998</v>
      </c>
      <c r="W286" s="15">
        <f t="shared" si="41"/>
        <v>1.5876960740005181E-2</v>
      </c>
    </row>
    <row r="287" spans="1:23" x14ac:dyDescent="0.2">
      <c r="A287" s="15">
        <v>764</v>
      </c>
      <c r="B287" s="21">
        <f>Messdaten!Q287-Messdaten!C287</f>
        <v>-8.3853600000001052</v>
      </c>
      <c r="C287" s="15">
        <f>(B287-MIN(B:B))/(MAX(B:B)-MIN(B:B))</f>
        <v>6.4483571399473593E-3</v>
      </c>
      <c r="D287" s="15">
        <f t="shared" si="38"/>
        <v>-1.4057876859625977E-6</v>
      </c>
      <c r="P287" s="15">
        <f t="shared" si="39"/>
        <v>0</v>
      </c>
      <c r="Q287" s="15">
        <v>764</v>
      </c>
      <c r="R287" s="15">
        <f>Messdaten!AE287-Messdaten!C287</f>
        <v>2789.1772099999998</v>
      </c>
      <c r="S287" s="15">
        <f t="shared" si="40"/>
        <v>2.8421049380667293E-2</v>
      </c>
      <c r="U287" s="15">
        <v>764</v>
      </c>
      <c r="V287" s="15">
        <f>Messdaten!AH287-Messdaten!C287</f>
        <v>799.36626999999999</v>
      </c>
      <c r="W287" s="15">
        <f t="shared" si="41"/>
        <v>1.2951632850745333E-2</v>
      </c>
    </row>
    <row r="288" spans="1:23" x14ac:dyDescent="0.2">
      <c r="A288" s="15">
        <v>765</v>
      </c>
      <c r="B288" s="21">
        <f>Messdaten!Q288-Messdaten!C288</f>
        <v>-85.447589999999877</v>
      </c>
      <c r="C288" s="15">
        <f>(B288-MIN(B:B))/(MAX(B:B)-MIN(B:B))</f>
        <v>5.810400790520049E-3</v>
      </c>
      <c r="D288" s="15">
        <f t="shared" si="38"/>
        <v>-1.4325105877049897E-5</v>
      </c>
      <c r="P288" s="15">
        <f t="shared" si="39"/>
        <v>0</v>
      </c>
      <c r="Q288" s="15">
        <v>765</v>
      </c>
      <c r="R288" s="15">
        <f>Messdaten!AE288-Messdaten!C288</f>
        <v>2062.0628500000003</v>
      </c>
      <c r="S288" s="15">
        <f t="shared" si="40"/>
        <v>2.1374718097356034E-2</v>
      </c>
      <c r="U288" s="15">
        <v>765</v>
      </c>
      <c r="V288" s="15">
        <f>Messdaten!AH288-Messdaten!C288</f>
        <v>730.52804000000015</v>
      </c>
      <c r="W288" s="15">
        <f t="shared" si="41"/>
        <v>1.2264547109023393E-2</v>
      </c>
    </row>
    <row r="289" spans="1:23" x14ac:dyDescent="0.2">
      <c r="A289" s="15">
        <v>766</v>
      </c>
      <c r="B289" s="21">
        <f>Messdaten!Q289-Messdaten!C289</f>
        <v>-35.228709999999978</v>
      </c>
      <c r="C289" s="15">
        <f>(B289-MIN(B:B))/(MAX(B:B)-MIN(B:B))</f>
        <v>6.2261356240062874E-3</v>
      </c>
      <c r="D289" s="15">
        <f t="shared" si="38"/>
        <v>-5.9060179539515027E-6</v>
      </c>
      <c r="P289" s="15">
        <f t="shared" si="39"/>
        <v>0</v>
      </c>
      <c r="Q289" s="15">
        <v>766</v>
      </c>
      <c r="R289" s="15">
        <f>Messdaten!AE289-Messdaten!C289</f>
        <v>2304.7406000000001</v>
      </c>
      <c r="S289" s="15">
        <f t="shared" si="40"/>
        <v>2.3726463456350991E-2</v>
      </c>
      <c r="U289" s="15">
        <v>766</v>
      </c>
      <c r="V289" s="15">
        <f>Messdaten!AH289-Messdaten!C289</f>
        <v>623.25202999999988</v>
      </c>
      <c r="W289" s="15">
        <f t="shared" si="41"/>
        <v>1.1193807537424581E-2</v>
      </c>
    </row>
    <row r="290" spans="1:23" x14ac:dyDescent="0.2">
      <c r="A290" s="15">
        <v>767</v>
      </c>
      <c r="B290" s="21">
        <f>Messdaten!Q290-Messdaten!C290</f>
        <v>-199.14191000000005</v>
      </c>
      <c r="C290" s="15">
        <f>(B290-MIN(B:B))/(MAX(B:B)-MIN(B:B))</f>
        <v>4.8691872629875507E-3</v>
      </c>
      <c r="D290" s="15">
        <f t="shared" si="38"/>
        <v>-3.3385715680312884E-5</v>
      </c>
      <c r="P290" s="15">
        <f t="shared" si="39"/>
        <v>0</v>
      </c>
      <c r="Q290" s="15">
        <v>767</v>
      </c>
      <c r="R290" s="15">
        <f>Messdaten!AE290-Messdaten!C290</f>
        <v>1691.8695299999999</v>
      </c>
      <c r="S290" s="15">
        <f t="shared" si="40"/>
        <v>1.7787242845747939E-2</v>
      </c>
      <c r="U290" s="15">
        <v>767</v>
      </c>
      <c r="V290" s="15">
        <f>Messdaten!AH290-Messdaten!C290</f>
        <v>483.53330999999991</v>
      </c>
      <c r="W290" s="15">
        <f t="shared" si="41"/>
        <v>9.7992519196575308E-3</v>
      </c>
    </row>
    <row r="291" spans="1:23" x14ac:dyDescent="0.2">
      <c r="A291" s="15">
        <v>768</v>
      </c>
      <c r="B291" s="21">
        <f>Messdaten!Q291-Messdaten!C291</f>
        <v>156.53962999999999</v>
      </c>
      <c r="C291" s="15">
        <f>(B291-MIN(B:B))/(MAX(B:B)-MIN(B:B))</f>
        <v>7.8136815608697216E-3</v>
      </c>
      <c r="D291" s="15">
        <f t="shared" si="38"/>
        <v>2.6243534471881764E-5</v>
      </c>
      <c r="P291" s="15">
        <f t="shared" si="39"/>
        <v>0</v>
      </c>
      <c r="Q291" s="15">
        <v>768</v>
      </c>
      <c r="R291" s="15">
        <f>Messdaten!AE291-Messdaten!C291</f>
        <v>1982.4122299999999</v>
      </c>
      <c r="S291" s="15">
        <f t="shared" si="40"/>
        <v>2.0602838615507896E-2</v>
      </c>
      <c r="U291" s="15">
        <v>768</v>
      </c>
      <c r="V291" s="15">
        <f>Messdaten!AH291-Messdaten!C291</f>
        <v>1185.7339999999999</v>
      </c>
      <c r="W291" s="15">
        <f t="shared" si="41"/>
        <v>1.6808032969465304E-2</v>
      </c>
    </row>
    <row r="292" spans="1:23" x14ac:dyDescent="0.2">
      <c r="A292" s="15">
        <v>769</v>
      </c>
      <c r="B292" s="21">
        <f>Messdaten!Q292-Messdaten!C292</f>
        <v>27.930720000000065</v>
      </c>
      <c r="C292" s="15">
        <f>(B292-MIN(B:B))/(MAX(B:B)-MIN(B:B))</f>
        <v>6.7489982428885834E-3</v>
      </c>
      <c r="D292" s="15">
        <f t="shared" si="38"/>
        <v>4.6825255249707636E-6</v>
      </c>
      <c r="P292" s="15">
        <f t="shared" si="39"/>
        <v>0</v>
      </c>
      <c r="Q292" s="15">
        <v>769</v>
      </c>
      <c r="R292" s="15">
        <f>Messdaten!AE292-Messdaten!C292</f>
        <v>1340.4006100000001</v>
      </c>
      <c r="S292" s="15">
        <f t="shared" si="40"/>
        <v>1.4381222304346965E-2</v>
      </c>
      <c r="U292" s="15">
        <v>769</v>
      </c>
      <c r="V292" s="15">
        <f>Messdaten!AH292-Messdaten!C292</f>
        <v>751.76081000000011</v>
      </c>
      <c r="W292" s="15">
        <f t="shared" si="41"/>
        <v>1.247647489281826E-2</v>
      </c>
    </row>
    <row r="293" spans="1:23" x14ac:dyDescent="0.2">
      <c r="A293" s="15">
        <v>770</v>
      </c>
      <c r="B293" s="21">
        <f>Messdaten!Q293-Messdaten!C293</f>
        <v>-712.38794000000007</v>
      </c>
      <c r="C293" s="15">
        <f>(B293-MIN(B:B))/(MAX(B:B)-MIN(B:B))</f>
        <v>6.2030212617201228E-4</v>
      </c>
      <c r="D293" s="15">
        <f t="shared" si="38"/>
        <v>-1.1943031589344398E-4</v>
      </c>
      <c r="P293" s="15">
        <f t="shared" si="39"/>
        <v>0</v>
      </c>
      <c r="Q293" s="15">
        <v>770</v>
      </c>
      <c r="R293" s="15">
        <f>Messdaten!AE293-Messdaten!C293</f>
        <v>1542.1487799999998</v>
      </c>
      <c r="S293" s="15">
        <f t="shared" si="40"/>
        <v>1.6336326645322703E-2</v>
      </c>
      <c r="U293" s="15">
        <v>770</v>
      </c>
      <c r="V293" s="15">
        <f>Messdaten!AH293-Messdaten!C293</f>
        <v>269.65087999999992</v>
      </c>
      <c r="W293" s="15">
        <f t="shared" si="41"/>
        <v>7.6644560648274299E-3</v>
      </c>
    </row>
    <row r="294" spans="1:23" x14ac:dyDescent="0.2">
      <c r="A294" s="15">
        <v>771</v>
      </c>
      <c r="B294" s="21">
        <f>Messdaten!Q294-Messdaten!C294</f>
        <v>-252.95508999999993</v>
      </c>
      <c r="C294" s="15">
        <f>(B294-MIN(B:B))/(MAX(B:B)-MIN(B:B))</f>
        <v>4.4236971718770975E-3</v>
      </c>
      <c r="D294" s="15">
        <f t="shared" si="38"/>
        <v>-4.240738031802523E-5</v>
      </c>
      <c r="P294" s="15">
        <f t="shared" si="39"/>
        <v>0</v>
      </c>
      <c r="Q294" s="15">
        <v>771</v>
      </c>
      <c r="R294" s="15">
        <f>Messdaten!AE294-Messdaten!C294</f>
        <v>1637.6617899999999</v>
      </c>
      <c r="S294" s="15">
        <f t="shared" si="40"/>
        <v>1.7261925625827259E-2</v>
      </c>
      <c r="U294" s="15">
        <v>771</v>
      </c>
      <c r="V294" s="15">
        <f>Messdaten!AH294-Messdaten!C294</f>
        <v>1146.01099</v>
      </c>
      <c r="W294" s="15">
        <f t="shared" si="41"/>
        <v>1.6411551046712814E-2</v>
      </c>
    </row>
    <row r="295" spans="1:23" x14ac:dyDescent="0.2">
      <c r="A295" s="15">
        <v>772</v>
      </c>
      <c r="B295" s="21">
        <f>Messdaten!Q295-Messdaten!C295</f>
        <v>-271.07927999999993</v>
      </c>
      <c r="C295" s="15">
        <f>(B295-MIN(B:B))/(MAX(B:B)-MIN(B:B))</f>
        <v>4.2736568461724427E-3</v>
      </c>
      <c r="D295" s="15">
        <f t="shared" si="38"/>
        <v>-4.5445862043323385E-5</v>
      </c>
      <c r="P295" s="15">
        <f t="shared" si="39"/>
        <v>0</v>
      </c>
      <c r="Q295" s="15">
        <v>772</v>
      </c>
      <c r="R295" s="15">
        <f>Messdaten!AE295-Messdaten!C295</f>
        <v>2078.6922999999997</v>
      </c>
      <c r="S295" s="15">
        <f t="shared" si="40"/>
        <v>2.1535871033132543E-2</v>
      </c>
      <c r="U295" s="15">
        <v>772</v>
      </c>
      <c r="V295" s="15">
        <f>Messdaten!AH295-Messdaten!C295</f>
        <v>1204.52874</v>
      </c>
      <c r="W295" s="15">
        <f t="shared" si="41"/>
        <v>1.6995626373208703E-2</v>
      </c>
    </row>
    <row r="296" spans="1:23" x14ac:dyDescent="0.2">
      <c r="A296" s="15">
        <v>773</v>
      </c>
      <c r="B296" s="21">
        <f>Messdaten!Q296-Messdaten!C296</f>
        <v>167.44302999999991</v>
      </c>
      <c r="C296" s="15">
        <f>(B296-MIN(B:B))/(MAX(B:B)-MIN(B:B))</f>
        <v>7.903944887798435E-3</v>
      </c>
      <c r="D296" s="15">
        <f t="shared" si="38"/>
        <v>2.8071466183236348E-5</v>
      </c>
      <c r="P296" s="15">
        <f t="shared" si="39"/>
        <v>0</v>
      </c>
      <c r="Q296" s="15">
        <v>773</v>
      </c>
      <c r="R296" s="15">
        <f>Messdaten!AE296-Messdaten!C296</f>
        <v>2005.4970599999999</v>
      </c>
      <c r="S296" s="15">
        <f t="shared" si="40"/>
        <v>2.0826549449384044E-2</v>
      </c>
      <c r="U296" s="15">
        <v>773</v>
      </c>
      <c r="V296" s="15">
        <f>Messdaten!AH296-Messdaten!C296</f>
        <v>1162.6965499999999</v>
      </c>
      <c r="W296" s="15">
        <f t="shared" si="41"/>
        <v>1.6578092376561736E-2</v>
      </c>
    </row>
    <row r="297" spans="1:23" x14ac:dyDescent="0.2">
      <c r="A297" s="15">
        <v>774</v>
      </c>
      <c r="B297" s="21">
        <f>Messdaten!Q297-Messdaten!C297</f>
        <v>-564.47284000000002</v>
      </c>
      <c r="C297" s="15">
        <f>(B297-MIN(B:B))/(MAX(B:B)-MIN(B:B))</f>
        <v>1.8448109059098394E-3</v>
      </c>
      <c r="D297" s="15">
        <f t="shared" si="38"/>
        <v>-9.4632665446960621E-5</v>
      </c>
      <c r="P297" s="15">
        <f t="shared" si="39"/>
        <v>0</v>
      </c>
      <c r="Q297" s="15">
        <v>774</v>
      </c>
      <c r="R297" s="15">
        <f>Messdaten!AE297-Messdaten!C297</f>
        <v>430.31197999999995</v>
      </c>
      <c r="S297" s="15">
        <f t="shared" si="40"/>
        <v>5.5617210856461121E-3</v>
      </c>
      <c r="U297" s="15">
        <v>774</v>
      </c>
      <c r="V297" s="15">
        <f>Messdaten!AH297-Messdaten!C297</f>
        <v>62.593709999999874</v>
      </c>
      <c r="W297" s="15">
        <f t="shared" si="41"/>
        <v>5.597784257195303E-3</v>
      </c>
    </row>
    <row r="298" spans="1:23" x14ac:dyDescent="0.2">
      <c r="A298" s="15">
        <v>775</v>
      </c>
      <c r="B298" s="21">
        <f>Messdaten!Q298-Messdaten!C298</f>
        <v>-697.64507000000003</v>
      </c>
      <c r="C298" s="15">
        <f>(B298-MIN(B:B))/(MAX(B:B)-MIN(B:B))</f>
        <v>7.4235034000233425E-4</v>
      </c>
      <c r="D298" s="15">
        <f t="shared" si="38"/>
        <v>-1.1695870524086053E-4</v>
      </c>
      <c r="P298" s="15">
        <f t="shared" si="39"/>
        <v>0</v>
      </c>
      <c r="Q298" s="15">
        <v>775</v>
      </c>
      <c r="R298" s="15">
        <f>Messdaten!AE298-Messdaten!C298</f>
        <v>902.34030999999982</v>
      </c>
      <c r="S298" s="15">
        <f t="shared" si="40"/>
        <v>1.0136060654855242E-2</v>
      </c>
      <c r="U298" s="15">
        <v>775</v>
      </c>
      <c r="V298" s="15">
        <f>Messdaten!AH298-Messdaten!C298</f>
        <v>50.575379999999996</v>
      </c>
      <c r="W298" s="15">
        <f t="shared" si="41"/>
        <v>5.4778273207326863E-3</v>
      </c>
    </row>
    <row r="299" spans="1:23" x14ac:dyDescent="0.2">
      <c r="A299" s="15">
        <v>776</v>
      </c>
      <c r="B299" s="21">
        <f>Messdaten!Q299-Messdaten!C299</f>
        <v>75.855020000000081</v>
      </c>
      <c r="C299" s="15">
        <f>(B299-MIN(B:B))/(MAX(B:B)-MIN(B:B))</f>
        <v>7.1457374947485322E-3</v>
      </c>
      <c r="D299" s="15">
        <f t="shared" si="38"/>
        <v>1.2716932014182497E-5</v>
      </c>
      <c r="P299" s="15">
        <f t="shared" si="39"/>
        <v>0</v>
      </c>
      <c r="Q299" s="15">
        <v>776</v>
      </c>
      <c r="R299" s="15">
        <f>Messdaten!AE299-Messdaten!C299</f>
        <v>1551.0836600000002</v>
      </c>
      <c r="S299" s="15">
        <f t="shared" si="40"/>
        <v>1.6422912921045047E-2</v>
      </c>
      <c r="U299" s="15">
        <v>776</v>
      </c>
      <c r="V299" s="15">
        <f>Messdaten!AH299-Messdaten!C299</f>
        <v>803.66912000000013</v>
      </c>
      <c r="W299" s="15">
        <f t="shared" si="41"/>
        <v>1.299458030717715E-2</v>
      </c>
    </row>
    <row r="300" spans="1:23" x14ac:dyDescent="0.2">
      <c r="A300" s="15">
        <v>777</v>
      </c>
      <c r="B300" s="21">
        <f>Messdaten!Q300-Messdaten!C300</f>
        <v>-359.35149999999987</v>
      </c>
      <c r="C300" s="15">
        <f>(B300-MIN(B:B))/(MAX(B:B)-MIN(B:B))</f>
        <v>3.5428990777164235E-3</v>
      </c>
      <c r="D300" s="15">
        <f t="shared" si="38"/>
        <v>-6.0244511104136486E-5</v>
      </c>
      <c r="P300" s="15">
        <f t="shared" si="39"/>
        <v>0</v>
      </c>
      <c r="Q300" s="15">
        <v>777</v>
      </c>
      <c r="R300" s="15">
        <f>Messdaten!AE300-Messdaten!C300</f>
        <v>1220.1471600000002</v>
      </c>
      <c r="S300" s="15">
        <f t="shared" si="40"/>
        <v>1.3215868278522051E-2</v>
      </c>
      <c r="U300" s="15">
        <v>777</v>
      </c>
      <c r="V300" s="15">
        <f>Messdaten!AH300-Messdaten!C300</f>
        <v>593.75261</v>
      </c>
      <c r="W300" s="15">
        <f t="shared" si="41"/>
        <v>1.0899368954807523E-2</v>
      </c>
    </row>
    <row r="301" spans="1:23" x14ac:dyDescent="0.2">
      <c r="A301" s="15">
        <v>778</v>
      </c>
      <c r="B301" s="21">
        <f>Messdaten!Q301-Messdaten!C301</f>
        <v>47.48488999999995</v>
      </c>
      <c r="C301" s="15">
        <f>(B301-MIN(B:B))/(MAX(B:B)-MIN(B:B))</f>
        <v>6.9108765963865424E-3</v>
      </c>
      <c r="D301" s="15">
        <f t="shared" si="38"/>
        <v>7.9607403416534999E-6</v>
      </c>
      <c r="P301" s="15">
        <f t="shared" si="39"/>
        <v>0</v>
      </c>
      <c r="Q301" s="15">
        <v>778</v>
      </c>
      <c r="R301" s="15">
        <f>Messdaten!AE301-Messdaten!C301</f>
        <v>1502.3509399999998</v>
      </c>
      <c r="S301" s="15">
        <f t="shared" si="40"/>
        <v>1.5950653111106963E-2</v>
      </c>
      <c r="U301" s="15">
        <v>778</v>
      </c>
      <c r="V301" s="15">
        <f>Messdaten!AH301-Messdaten!C301</f>
        <v>477.7177999999999</v>
      </c>
      <c r="W301" s="15">
        <f t="shared" si="41"/>
        <v>9.7412063539618222E-3</v>
      </c>
    </row>
    <row r="302" spans="1:23" x14ac:dyDescent="0.2">
      <c r="A302" s="15">
        <v>779</v>
      </c>
      <c r="B302" s="21">
        <f>Messdaten!Q302-Messdaten!C302</f>
        <v>-161.21894000000009</v>
      </c>
      <c r="C302" s="15">
        <f>(B302-MIN(B:B))/(MAX(B:B)-MIN(B:B))</f>
        <v>5.183130935531694E-3</v>
      </c>
      <c r="D302" s="15">
        <f t="shared" si="38"/>
        <v>-2.7028010794520469E-5</v>
      </c>
      <c r="P302" s="15">
        <f t="shared" si="39"/>
        <v>0</v>
      </c>
      <c r="Q302" s="15">
        <v>779</v>
      </c>
      <c r="R302" s="15">
        <f>Messdaten!AE302-Messdaten!C302</f>
        <v>1266.7958599999999</v>
      </c>
      <c r="S302" s="15">
        <f t="shared" si="40"/>
        <v>1.3667932234645542E-2</v>
      </c>
      <c r="U302" s="15">
        <v>779</v>
      </c>
      <c r="V302" s="15">
        <f>Messdaten!AH302-Messdaten!C302</f>
        <v>578.32457999999997</v>
      </c>
      <c r="W302" s="15">
        <f t="shared" si="41"/>
        <v>1.0745379239559785E-2</v>
      </c>
    </row>
    <row r="303" spans="1:23" x14ac:dyDescent="0.2">
      <c r="A303" s="15">
        <v>780</v>
      </c>
      <c r="B303" s="21">
        <f>Messdaten!Q303-Messdaten!C303</f>
        <v>-114.55432999999994</v>
      </c>
      <c r="C303" s="15">
        <f>(B303-MIN(B:B))/(MAX(B:B)-MIN(B:B))</f>
        <v>5.5694418980232977E-3</v>
      </c>
      <c r="D303" s="15">
        <f t="shared" si="38"/>
        <v>-1.9204788642073051E-5</v>
      </c>
      <c r="P303" s="15">
        <f t="shared" si="39"/>
        <v>0</v>
      </c>
      <c r="Q303" s="15">
        <v>780</v>
      </c>
      <c r="R303" s="15">
        <f>Messdaten!AE303-Messdaten!C303</f>
        <v>1035.3694600000001</v>
      </c>
      <c r="S303" s="15">
        <f t="shared" si="40"/>
        <v>1.1425221635305838E-2</v>
      </c>
      <c r="U303" s="15">
        <v>780</v>
      </c>
      <c r="V303" s="15">
        <f>Messdaten!AH303-Messdaten!C303</f>
        <v>1122.7682300000001</v>
      </c>
      <c r="W303" s="15">
        <f t="shared" si="41"/>
        <v>1.617956122079392E-2</v>
      </c>
    </row>
    <row r="304" spans="1:23" x14ac:dyDescent="0.2">
      <c r="A304" s="15">
        <v>781</v>
      </c>
      <c r="B304" s="21">
        <f>Messdaten!Q304-Messdaten!C304</f>
        <v>-304.10007999999993</v>
      </c>
      <c r="C304" s="15">
        <f>(B304-MIN(B:B))/(MAX(B:B)-MIN(B:B))</f>
        <v>4.0002955766741503E-3</v>
      </c>
      <c r="D304" s="15">
        <f t="shared" si="38"/>
        <v>-5.0981728603689689E-5</v>
      </c>
      <c r="P304" s="15">
        <f t="shared" si="39"/>
        <v>0</v>
      </c>
      <c r="Q304" s="15">
        <v>781</v>
      </c>
      <c r="R304" s="15">
        <f>Messdaten!AE304-Messdaten!C304</f>
        <v>739.61390000000006</v>
      </c>
      <c r="S304" s="15">
        <f t="shared" si="40"/>
        <v>8.5591089998171901E-3</v>
      </c>
      <c r="U304" s="15">
        <v>781</v>
      </c>
      <c r="V304" s="15">
        <f>Messdaten!AH304-Messdaten!C304</f>
        <v>712.74738000000002</v>
      </c>
      <c r="W304" s="15">
        <f t="shared" si="41"/>
        <v>1.2087075405227323E-2</v>
      </c>
    </row>
    <row r="305" spans="1:23" x14ac:dyDescent="0.2">
      <c r="A305" s="15">
        <v>782</v>
      </c>
      <c r="B305" s="21">
        <f>Messdaten!Q305-Messdaten!C305</f>
        <v>589.89355999999998</v>
      </c>
      <c r="C305" s="15">
        <f>(B305-MIN(B:B))/(MAX(B:B)-MIN(B:B))</f>
        <v>1.1401183391439364E-2</v>
      </c>
      <c r="D305" s="15">
        <f t="shared" si="38"/>
        <v>9.8894394835359292E-5</v>
      </c>
      <c r="P305" s="15">
        <f t="shared" si="39"/>
        <v>0</v>
      </c>
      <c r="Q305" s="15">
        <v>782</v>
      </c>
      <c r="R305" s="15">
        <f>Messdaten!AE305-Messdaten!C305</f>
        <v>1002.1835799999999</v>
      </c>
      <c r="S305" s="15">
        <f t="shared" si="40"/>
        <v>1.1103623387118009E-2</v>
      </c>
      <c r="U305" s="15">
        <v>782</v>
      </c>
      <c r="V305" s="15">
        <f>Messdaten!AH305-Messdaten!C305</f>
        <v>810.95762999999988</v>
      </c>
      <c r="W305" s="15">
        <f t="shared" si="41"/>
        <v>1.3067328129127214E-2</v>
      </c>
    </row>
    <row r="306" spans="1:23" x14ac:dyDescent="0.2">
      <c r="A306" s="15">
        <v>783</v>
      </c>
      <c r="B306" s="21">
        <f>Messdaten!Q306-Messdaten!C306</f>
        <v>-547.16546000000005</v>
      </c>
      <c r="C306" s="15">
        <f>(B306-MIN(B:B))/(MAX(B:B)-MIN(B:B))</f>
        <v>1.9880893052366074E-3</v>
      </c>
      <c r="D306" s="15">
        <f t="shared" si="38"/>
        <v>-9.1731120172783366E-5</v>
      </c>
      <c r="P306" s="15">
        <f t="shared" si="39"/>
        <v>0</v>
      </c>
      <c r="Q306" s="15">
        <v>783</v>
      </c>
      <c r="R306" s="15">
        <f>Messdaten!AE306-Messdaten!C306</f>
        <v>834.17162999999982</v>
      </c>
      <c r="S306" s="15">
        <f t="shared" si="40"/>
        <v>9.4754505378634186E-3</v>
      </c>
      <c r="U306" s="15">
        <v>783</v>
      </c>
      <c r="V306" s="15">
        <f>Messdaten!AH306-Messdaten!C306</f>
        <v>346.43586000000005</v>
      </c>
      <c r="W306" s="15">
        <f t="shared" si="41"/>
        <v>8.4308596306425961E-3</v>
      </c>
    </row>
    <row r="307" spans="1:23" x14ac:dyDescent="0.2">
      <c r="A307" s="15">
        <v>784</v>
      </c>
      <c r="B307" s="21">
        <f>Messdaten!Q307-Messdaten!C307</f>
        <v>-473.26316000000008</v>
      </c>
      <c r="C307" s="15">
        <f>(B307-MIN(B:B))/(MAX(B:B)-MIN(B:B))</f>
        <v>2.5998863103619718E-3</v>
      </c>
      <c r="D307" s="15">
        <f t="shared" si="38"/>
        <v>-7.9341557493982183E-5</v>
      </c>
      <c r="P307" s="15">
        <f t="shared" si="39"/>
        <v>0</v>
      </c>
      <c r="Q307" s="15">
        <v>784</v>
      </c>
      <c r="R307" s="15">
        <f>Messdaten!AE307-Messdaten!C307</f>
        <v>608.91984999999977</v>
      </c>
      <c r="S307" s="15">
        <f t="shared" si="40"/>
        <v>7.2925770431967098E-3</v>
      </c>
      <c r="U307" s="15">
        <v>784</v>
      </c>
      <c r="V307" s="15">
        <f>Messdaten!AH307-Messdaten!C307</f>
        <v>-397.44496000000004</v>
      </c>
      <c r="W307" s="15">
        <f t="shared" si="41"/>
        <v>1.0060623201593674E-3</v>
      </c>
    </row>
    <row r="308" spans="1:23" x14ac:dyDescent="0.2">
      <c r="A308" s="15">
        <v>785</v>
      </c>
      <c r="B308" s="21">
        <f>Messdaten!Q308-Messdaten!C308</f>
        <v>240.50211999999988</v>
      </c>
      <c r="C308" s="15">
        <f>(B308-MIN(B:B))/(MAX(B:B)-MIN(B:B))</f>
        <v>8.5087614152838369E-3</v>
      </c>
      <c r="D308" s="15">
        <f t="shared" si="38"/>
        <v>4.0319666507328791E-5</v>
      </c>
      <c r="P308" s="15">
        <f t="shared" si="39"/>
        <v>0</v>
      </c>
      <c r="Q308" s="15">
        <v>785</v>
      </c>
      <c r="R308" s="15">
        <f>Messdaten!AE308-Messdaten!C308</f>
        <v>1163.2357500000001</v>
      </c>
      <c r="S308" s="15">
        <f t="shared" si="40"/>
        <v>1.266435029081465E-2</v>
      </c>
      <c r="U308" s="15">
        <v>785</v>
      </c>
      <c r="V308" s="15">
        <f>Messdaten!AH308-Messdaten!C308</f>
        <v>-178.07332999999994</v>
      </c>
      <c r="W308" s="15">
        <f t="shared" si="41"/>
        <v>3.1956467866876511E-3</v>
      </c>
    </row>
    <row r="309" spans="1:23" x14ac:dyDescent="0.2">
      <c r="A309" s="15">
        <v>786</v>
      </c>
      <c r="B309" s="21">
        <f>Messdaten!Q309-Messdaten!C309</f>
        <v>-371.66189999999995</v>
      </c>
      <c r="C309" s="15">
        <f>(B309-MIN(B:B))/(MAX(B:B)-MIN(B:B))</f>
        <v>3.4409879619338927E-3</v>
      </c>
      <c r="D309" s="15">
        <f t="shared" si="38"/>
        <v>-6.2308323358979906E-5</v>
      </c>
      <c r="P309" s="15">
        <f t="shared" si="39"/>
        <v>0</v>
      </c>
      <c r="Q309" s="15">
        <v>786</v>
      </c>
      <c r="R309" s="15">
        <f>Messdaten!AE309-Messdaten!C309</f>
        <v>839.95817000000011</v>
      </c>
      <c r="S309" s="15">
        <f t="shared" si="40"/>
        <v>9.5315268307647628E-3</v>
      </c>
      <c r="U309" s="15">
        <v>786</v>
      </c>
      <c r="V309" s="15">
        <f>Messdaten!AH309-Messdaten!C309</f>
        <v>653.66157999999996</v>
      </c>
      <c r="W309" s="15">
        <f t="shared" si="41"/>
        <v>1.1497330277872446E-2</v>
      </c>
    </row>
    <row r="310" spans="1:23" x14ac:dyDescent="0.2">
      <c r="A310" s="15">
        <v>787</v>
      </c>
      <c r="B310" s="21">
        <f>Messdaten!Q310-Messdaten!C310</f>
        <v>-690.61266000000001</v>
      </c>
      <c r="C310" s="15">
        <f>(B310-MIN(B:B))/(MAX(B:B)-MIN(B:B))</f>
        <v>8.0056784306805316E-4</v>
      </c>
      <c r="D310" s="15">
        <f t="shared" si="38"/>
        <v>-1.1577973673138208E-4</v>
      </c>
      <c r="P310" s="15">
        <f t="shared" si="39"/>
        <v>0</v>
      </c>
      <c r="Q310" s="15">
        <v>787</v>
      </c>
      <c r="R310" s="15">
        <f>Messdaten!AE310-Messdaten!C310</f>
        <v>621.52854000000002</v>
      </c>
      <c r="S310" s="15">
        <f t="shared" si="40"/>
        <v>7.4147655346859659E-3</v>
      </c>
      <c r="U310" s="15">
        <v>787</v>
      </c>
      <c r="V310" s="15">
        <f>Messdaten!AH310-Messdaten!C310</f>
        <v>284.95406000000003</v>
      </c>
      <c r="W310" s="15">
        <f t="shared" si="41"/>
        <v>7.8171996316071749E-3</v>
      </c>
    </row>
    <row r="311" spans="1:23" x14ac:dyDescent="0.2">
      <c r="A311" s="15">
        <v>788</v>
      </c>
      <c r="B311" s="21">
        <f>Messdaten!Q311-Messdaten!C311</f>
        <v>-500.38967000000002</v>
      </c>
      <c r="C311" s="15">
        <f>(B311-MIN(B:B))/(MAX(B:B)-MIN(B:B))</f>
        <v>2.3753206665659979E-3</v>
      </c>
      <c r="D311" s="15">
        <f t="shared" si="38"/>
        <v>-8.3889258930908042E-5</v>
      </c>
      <c r="P311" s="15">
        <f t="shared" si="39"/>
        <v>0</v>
      </c>
      <c r="Q311" s="15">
        <v>788</v>
      </c>
      <c r="R311" s="15">
        <f>Messdaten!AE311-Messdaten!C311</f>
        <v>443.78458000000001</v>
      </c>
      <c r="S311" s="15">
        <f t="shared" si="40"/>
        <v>5.6922815697596973E-3</v>
      </c>
      <c r="U311" s="15">
        <v>788</v>
      </c>
      <c r="V311" s="15">
        <f>Messdaten!AH311-Messdaten!C311</f>
        <v>39.560240000000022</v>
      </c>
      <c r="W311" s="15">
        <f t="shared" si="41"/>
        <v>5.3678833893290026E-3</v>
      </c>
    </row>
    <row r="312" spans="1:23" x14ac:dyDescent="0.2">
      <c r="A312" s="15">
        <v>789</v>
      </c>
      <c r="B312" s="21">
        <f>Messdaten!Q312-Messdaten!C312</f>
        <v>578.14476999999999</v>
      </c>
      <c r="C312" s="15">
        <f>(B312-MIN(B:B))/(MAX(B:B)-MIN(B:B))</f>
        <v>1.1303921539834654E-2</v>
      </c>
      <c r="D312" s="15">
        <f t="shared" si="38"/>
        <v>9.692473529695422E-5</v>
      </c>
      <c r="P312" s="15">
        <f t="shared" si="39"/>
        <v>0</v>
      </c>
      <c r="Q312" s="15">
        <v>789</v>
      </c>
      <c r="R312" s="15">
        <f>Messdaten!AE312-Messdaten!C312</f>
        <v>1016.0645499999999</v>
      </c>
      <c r="S312" s="15">
        <f t="shared" si="40"/>
        <v>1.1238141309654576E-2</v>
      </c>
      <c r="U312" s="15">
        <v>789</v>
      </c>
      <c r="V312" s="15">
        <f>Messdaten!AH312-Messdaten!C312</f>
        <v>1087.6878099999999</v>
      </c>
      <c r="W312" s="15">
        <f t="shared" si="41"/>
        <v>1.5829417755518629E-2</v>
      </c>
    </row>
    <row r="313" spans="1:23" x14ac:dyDescent="0.2">
      <c r="A313" s="15">
        <v>790</v>
      </c>
      <c r="B313" s="21">
        <f>Messdaten!Q313-Messdaten!C313</f>
        <v>-480.76209999999992</v>
      </c>
      <c r="C313" s="15">
        <f>(B313-MIN(B:B))/(MAX(B:B)-MIN(B:B))</f>
        <v>2.5378066588001842E-3</v>
      </c>
      <c r="D313" s="15">
        <f t="shared" si="38"/>
        <v>-8.0598738761068151E-5</v>
      </c>
      <c r="P313" s="15">
        <f t="shared" si="39"/>
        <v>0</v>
      </c>
      <c r="Q313" s="15">
        <v>790</v>
      </c>
      <c r="R313" s="15">
        <f>Messdaten!AE313-Messdaten!C313</f>
        <v>286.06071999999995</v>
      </c>
      <c r="S313" s="15">
        <f t="shared" si="40"/>
        <v>4.1638087049924461E-3</v>
      </c>
      <c r="U313" s="15">
        <v>790</v>
      </c>
      <c r="V313" s="15">
        <f>Messdaten!AH313-Messdaten!C313</f>
        <v>-9.9586199999998826</v>
      </c>
      <c r="W313" s="15">
        <f t="shared" si="41"/>
        <v>4.8736274700189788E-3</v>
      </c>
    </row>
    <row r="314" spans="1:23" x14ac:dyDescent="0.2">
      <c r="A314" s="15">
        <v>791</v>
      </c>
      <c r="B314" s="21">
        <f>Messdaten!Q314-Messdaten!C314</f>
        <v>-146.51990000000001</v>
      </c>
      <c r="C314" s="15">
        <f>(B314-MIN(B:B))/(MAX(B:B)-MIN(B:B))</f>
        <v>5.3048163045962288E-3</v>
      </c>
      <c r="D314" s="15">
        <f t="shared" si="38"/>
        <v>-2.4563748147780017E-5</v>
      </c>
      <c r="P314" s="15">
        <f t="shared" si="39"/>
        <v>0</v>
      </c>
      <c r="Q314" s="15">
        <v>791</v>
      </c>
      <c r="R314" s="15">
        <f>Messdaten!AE314-Messdaten!C314</f>
        <v>1588.0220300000001</v>
      </c>
      <c r="S314" s="15">
        <f t="shared" si="40"/>
        <v>1.6780875858382064E-2</v>
      </c>
      <c r="U314" s="15">
        <v>791</v>
      </c>
      <c r="V314" s="15">
        <f>Messdaten!AH314-Messdaten!C314</f>
        <v>807.89120000000003</v>
      </c>
      <c r="W314" s="15">
        <f t="shared" si="41"/>
        <v>1.3036721584900433E-2</v>
      </c>
    </row>
    <row r="315" spans="1:23" x14ac:dyDescent="0.2">
      <c r="A315" s="15">
        <v>792</v>
      </c>
      <c r="B315" s="21">
        <f>Messdaten!Q315-Messdaten!C315</f>
        <v>463.74509999999998</v>
      </c>
      <c r="C315" s="15">
        <f>(B315-MIN(B:B))/(MAX(B:B)-MIN(B:B))</f>
        <v>1.0356868802729988E-2</v>
      </c>
      <c r="D315" s="15">
        <f t="shared" si="38"/>
        <v>7.7745875073399981E-5</v>
      </c>
      <c r="P315" s="15">
        <f t="shared" si="39"/>
        <v>0</v>
      </c>
      <c r="Q315" s="15">
        <v>792</v>
      </c>
      <c r="R315" s="15">
        <f>Messdaten!AE315-Messdaten!C315</f>
        <v>1069.48756</v>
      </c>
      <c r="S315" s="15">
        <f t="shared" si="40"/>
        <v>1.1755853855741068E-2</v>
      </c>
      <c r="U315" s="15">
        <v>792</v>
      </c>
      <c r="V315" s="15">
        <f>Messdaten!AH315-Messdaten!C315</f>
        <v>873.41513999999995</v>
      </c>
      <c r="W315" s="15">
        <f t="shared" si="41"/>
        <v>1.3690726850803461E-2</v>
      </c>
    </row>
    <row r="316" spans="1:23" x14ac:dyDescent="0.2">
      <c r="A316" s="15">
        <v>793</v>
      </c>
      <c r="B316" s="21">
        <f>Messdaten!Q316-Messdaten!C316</f>
        <v>-653.53210000000013</v>
      </c>
      <c r="C316" s="15">
        <f>(B316-MIN(B:B))/(MAX(B:B)-MIN(B:B))</f>
        <v>1.107537660737751E-3</v>
      </c>
      <c r="D316" s="15">
        <f t="shared" si="38"/>
        <v>-1.0956326008200789E-4</v>
      </c>
      <c r="P316" s="15">
        <f t="shared" si="39"/>
        <v>0</v>
      </c>
      <c r="Q316" s="15">
        <v>793</v>
      </c>
      <c r="R316" s="15">
        <f>Messdaten!AE316-Messdaten!C316</f>
        <v>-143.60473000000002</v>
      </c>
      <c r="S316" s="15">
        <f t="shared" si="40"/>
        <v>0</v>
      </c>
      <c r="U316" s="15">
        <v>793</v>
      </c>
      <c r="V316" s="15">
        <f>Messdaten!AH316-Messdaten!C316</f>
        <v>-498.24104000000011</v>
      </c>
      <c r="W316" s="15">
        <f t="shared" si="41"/>
        <v>0</v>
      </c>
    </row>
    <row r="317" spans="1:23" x14ac:dyDescent="0.2">
      <c r="A317" s="15">
        <v>794</v>
      </c>
      <c r="B317" s="21">
        <f>Messdaten!Q317-Messdaten!C317</f>
        <v>-787.31762000000003</v>
      </c>
      <c r="C317" s="15">
        <f>(B317-MIN(B:B))/(MAX(B:B)-MIN(B:B))</f>
        <v>0</v>
      </c>
      <c r="D317" s="15">
        <f t="shared" si="38"/>
        <v>-1.3199211663391506E-4</v>
      </c>
      <c r="P317" s="15">
        <f t="shared" si="39"/>
        <v>0</v>
      </c>
      <c r="Q317" s="15">
        <v>794</v>
      </c>
      <c r="R317" s="15">
        <f>Messdaten!AE317-Messdaten!C317</f>
        <v>156.21527000000015</v>
      </c>
      <c r="S317" s="15">
        <f t="shared" si="40"/>
        <v>2.9055003746073509E-3</v>
      </c>
      <c r="U317" s="15">
        <v>794</v>
      </c>
      <c r="V317" s="15">
        <f>Messdaten!AH317-Messdaten!C317</f>
        <v>212.97677999999996</v>
      </c>
      <c r="W317" s="15">
        <f t="shared" si="41"/>
        <v>7.0987825134458289E-3</v>
      </c>
    </row>
    <row r="318" spans="1:23" x14ac:dyDescent="0.2">
      <c r="A318" s="15">
        <v>795</v>
      </c>
      <c r="B318" s="21">
        <f>Messdaten!Q318-Messdaten!C318</f>
        <v>-51.950280000000021</v>
      </c>
      <c r="C318" s="15">
        <f>(B318-MIN(B:B))/(MAX(B:B)-MIN(B:B))</f>
        <v>6.0877068275142403E-3</v>
      </c>
      <c r="D318" s="15">
        <f t="shared" si="38"/>
        <v>-8.709353433401563E-6</v>
      </c>
      <c r="P318" s="15">
        <f t="shared" si="39"/>
        <v>0</v>
      </c>
      <c r="Q318" s="15">
        <v>795</v>
      </c>
      <c r="R318" s="15">
        <f>Messdaten!AE318-Messdaten!C318</f>
        <v>236.12749000000008</v>
      </c>
      <c r="S318" s="15">
        <f t="shared" si="40"/>
        <v>3.6799149738525804E-3</v>
      </c>
      <c r="U318" s="15">
        <v>795</v>
      </c>
      <c r="V318" s="15">
        <f>Messdaten!AH318-Messdaten!C318</f>
        <v>672.85563999999999</v>
      </c>
      <c r="W318" s="15">
        <f t="shared" si="41"/>
        <v>1.1688909360480402E-2</v>
      </c>
    </row>
    <row r="319" spans="1:23" x14ac:dyDescent="0.2">
      <c r="A319" s="15">
        <v>796</v>
      </c>
      <c r="B319" s="21">
        <f>Messdaten!Q319-Messdaten!C319</f>
        <v>664.65309999999999</v>
      </c>
      <c r="C319" s="15">
        <f>(B319-MIN(B:B))/(MAX(B:B)-MIN(B:B))</f>
        <v>1.2020077020954954E-2</v>
      </c>
      <c r="D319" s="15">
        <f t="shared" si="38"/>
        <v>1.1142767196838958E-4</v>
      </c>
      <c r="P319" s="15">
        <f t="shared" si="39"/>
        <v>0</v>
      </c>
      <c r="Q319" s="15">
        <v>796</v>
      </c>
      <c r="R319" s="15">
        <f>Messdaten!AE319-Messdaten!C319</f>
        <v>1171.9698100000001</v>
      </c>
      <c r="S319" s="15">
        <f t="shared" si="40"/>
        <v>1.2748990456920456E-2</v>
      </c>
      <c r="U319" s="15">
        <v>796</v>
      </c>
      <c r="V319" s="15">
        <f>Messdaten!AH319-Messdaten!C319</f>
        <v>1269.4700700000001</v>
      </c>
      <c r="W319" s="15">
        <f t="shared" si="41"/>
        <v>1.7643816512488281E-2</v>
      </c>
    </row>
    <row r="320" spans="1:23" x14ac:dyDescent="0.2">
      <c r="A320" s="15">
        <v>797</v>
      </c>
      <c r="B320" s="21">
        <f>Messdaten!Q320-Messdaten!C320</f>
        <v>-691.69607999999994</v>
      </c>
      <c r="C320" s="15">
        <f>(B320-MIN(B:B))/(MAX(B:B)-MIN(B:B))</f>
        <v>7.9159879729690831E-4</v>
      </c>
      <c r="D320" s="15">
        <f t="shared" si="38"/>
        <v>-1.1596136977930435E-4</v>
      </c>
      <c r="P320" s="15">
        <f t="shared" si="39"/>
        <v>0</v>
      </c>
      <c r="Q320" s="15">
        <v>797</v>
      </c>
      <c r="R320" s="15">
        <f>Messdaten!AE320-Messdaten!C320</f>
        <v>1175.8158000000003</v>
      </c>
      <c r="S320" s="15">
        <f t="shared" si="40"/>
        <v>1.2786261237341166E-2</v>
      </c>
      <c r="U320" s="15">
        <v>797</v>
      </c>
      <c r="V320" s="15">
        <f>Messdaten!AH320-Messdaten!C320</f>
        <v>289.83368000000019</v>
      </c>
      <c r="W320" s="15">
        <f t="shared" si="41"/>
        <v>7.8659039246580173E-3</v>
      </c>
    </row>
    <row r="321" spans="1:23" x14ac:dyDescent="0.2">
      <c r="A321" s="15">
        <v>798</v>
      </c>
      <c r="B321" s="21">
        <f>Messdaten!Q321-Messdaten!C321</f>
        <v>-85.143370000000004</v>
      </c>
      <c r="C321" s="15">
        <f>(B321-MIN(B:B))/(MAX(B:B)-MIN(B:B))</f>
        <v>5.8129192626771966E-3</v>
      </c>
      <c r="D321" s="15">
        <f t="shared" si="38"/>
        <v>-1.4274104044114476E-5</v>
      </c>
      <c r="P321" s="15">
        <f t="shared" si="39"/>
        <v>0</v>
      </c>
      <c r="Q321" s="15">
        <v>798</v>
      </c>
      <c r="R321" s="15">
        <f>Messdaten!AE321-Messdaten!C321</f>
        <v>673.48738000000003</v>
      </c>
      <c r="S321" s="15">
        <f t="shared" si="40"/>
        <v>7.9182890790931541E-3</v>
      </c>
      <c r="U321" s="15">
        <v>798</v>
      </c>
      <c r="V321" s="15">
        <f>Messdaten!AH321-Messdaten!C321</f>
        <v>610.79985999999985</v>
      </c>
      <c r="W321" s="15">
        <f t="shared" si="41"/>
        <v>1.10695203722767E-2</v>
      </c>
    </row>
    <row r="322" spans="1:23" x14ac:dyDescent="0.2">
      <c r="A322" s="15">
        <v>799</v>
      </c>
      <c r="B322" s="21">
        <f>Messdaten!Q322-Messdaten!C322</f>
        <v>83.659179999999992</v>
      </c>
      <c r="C322" s="15">
        <f>(B322-MIN(B:B))/(MAX(B:B)-MIN(B:B))</f>
        <v>7.2103438969243665E-3</v>
      </c>
      <c r="D322" s="15">
        <f t="shared" si="38"/>
        <v>1.4025282762067096E-5</v>
      </c>
      <c r="P322" s="15">
        <f t="shared" si="39"/>
        <v>0</v>
      </c>
      <c r="Q322" s="15">
        <v>799</v>
      </c>
      <c r="R322" s="15">
        <f>Messdaten!AE322-Messdaten!C322</f>
        <v>867.59462999999994</v>
      </c>
      <c r="S322" s="15">
        <f t="shared" si="40"/>
        <v>9.7993466722790731E-3</v>
      </c>
      <c r="U322" s="15">
        <v>799</v>
      </c>
      <c r="V322" s="15">
        <f>Messdaten!AH322-Messdaten!C322</f>
        <v>784.74655999999993</v>
      </c>
      <c r="W322" s="15">
        <f t="shared" si="41"/>
        <v>1.2805711110905279E-2</v>
      </c>
    </row>
    <row r="323" spans="1:23" x14ac:dyDescent="0.2">
      <c r="A323" s="15">
        <v>800</v>
      </c>
      <c r="B323" s="21">
        <f>Messdaten!Q323-Messdaten!C323</f>
        <v>747.55485999999996</v>
      </c>
      <c r="C323" s="15">
        <f>(B323-MIN(B:B))/(MAX(B:B)-MIN(B:B))</f>
        <v>1.2706375667784913E-2</v>
      </c>
      <c r="D323" s="15">
        <f t="shared" si="38"/>
        <v>1.2532597488592982E-4</v>
      </c>
      <c r="P323" s="15">
        <f t="shared" si="39"/>
        <v>0</v>
      </c>
      <c r="Q323" s="15">
        <v>800</v>
      </c>
      <c r="R323" s="15">
        <f>Messdaten!AE323-Messdaten!C323</f>
        <v>1702.7436300000002</v>
      </c>
      <c r="S323" s="15">
        <f t="shared" si="40"/>
        <v>1.7892621745165985E-2</v>
      </c>
      <c r="U323" s="15">
        <v>800</v>
      </c>
      <c r="V323" s="15">
        <f>Messdaten!AH323-Messdaten!C323</f>
        <v>255.29893000000004</v>
      </c>
      <c r="W323" s="15">
        <f t="shared" si="41"/>
        <v>7.5212068817658356E-3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Messdaten</vt:lpstr>
      <vt:lpstr>Korrigiert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MPC_Work_Froescher</dc:creator>
  <cp:lastModifiedBy>Lena-Marie Aßmann</cp:lastModifiedBy>
  <dcterms:created xsi:type="dcterms:W3CDTF">1996-10-14T23:33:28Z</dcterms:created>
  <dcterms:modified xsi:type="dcterms:W3CDTF">2026-01-12T18:39:19Z</dcterms:modified>
</cp:coreProperties>
</file>